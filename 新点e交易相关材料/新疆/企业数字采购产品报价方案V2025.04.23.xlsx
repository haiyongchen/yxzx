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51" windowHeight="12291"/>
  </bookViews>
  <sheets>
    <sheet name="新点e交易（企业Saas平台）" sheetId="1" r:id="rId1"/>
    <sheet name="新点e交易（产业互联网）" sheetId="5" r:id="rId2"/>
    <sheet name="Sheet1" sheetId="3" r:id="rId3"/>
  </sheets>
  <definedNames>
    <definedName name="_xlnm._FilterDatabase" localSheetId="0" hidden="1">'新点e交易（企业Saas平台）'!$A$2:$K$126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<sst xmlns="http://schemas.openxmlformats.org/spreadsheetml/2006/main" count="991" uniqueCount="356">
  <si>
    <t>序号</t>
  </si>
  <si>
    <t>功能套件</t>
  </si>
  <si>
    <t>必选</t>
  </si>
  <si>
    <t>功能模块</t>
  </si>
  <si>
    <t>收费类型</t>
  </si>
  <si>
    <t>选购</t>
  </si>
  <si>
    <t>单价</t>
  </si>
  <si>
    <t>数量</t>
  </si>
  <si>
    <t>SaaS报价/年</t>
  </si>
  <si>
    <t>私有化部署</t>
  </si>
  <si>
    <t>功能简述/报价说明</t>
  </si>
  <si>
    <t>版本说明</t>
  </si>
  <si>
    <t>门户网站
（模板创建，二选一）</t>
  </si>
  <si>
    <t>交易信息</t>
  </si>
  <si>
    <t>产品订阅</t>
  </si>
  <si>
    <t>√</t>
  </si>
  <si>
    <t>用户发布采购交易相关的招标（采购）公告、变更公告、候选人公示、中标（成交）公告</t>
  </si>
  <si>
    <t>办事指南</t>
  </si>
  <si>
    <t>包括常见问题、下载中心、办事服务以及视频播放，帮助用户更好地使用平台相关功能</t>
  </si>
  <si>
    <t>资讯中心</t>
  </si>
  <si>
    <t>包括通知公告（平台侧，如网站升级公告）、行业资讯以及政策法规，帮助用户实时了解交易行业动态</t>
  </si>
  <si>
    <t>服务中心</t>
  </si>
  <si>
    <t>包括平台常见业务场景的问题解答以及客服/微信公众号等联系方式的展示</t>
  </si>
  <si>
    <t>注册/登录</t>
  </si>
  <si>
    <t>用户以采购商/代理机构/供应商三种身份的其中之一进行注册/登录，登录后可直接进入系统并支持记住登录状态</t>
  </si>
  <si>
    <t>企业认证</t>
  </si>
  <si>
    <t>采购商/代理机构/供应商进行业务操作之前的必要操作，用户可自行创建企业入驻平台或加入已入驻平台的企业</t>
  </si>
  <si>
    <t>可选</t>
  </si>
  <si>
    <t>个性化定制</t>
  </si>
  <si>
    <t>按要求进行网站栏目、内容、UI的个性化定制。</t>
  </si>
  <si>
    <t>业务工作台</t>
  </si>
  <si>
    <t>采购工作台</t>
  </si>
  <si>
    <t>1、支持用户自己设置使用频率较高的应用，便于快捷使用
2、展示开标日程、参与项目个数及已完成采购金额总数
3、展示自己参与的所有项目，并支持点击进入具体项目进行业务操作</t>
  </si>
  <si>
    <t>V8.0.50.28升级</t>
  </si>
  <si>
    <t>代理工作台</t>
  </si>
  <si>
    <t>供应商工作台</t>
  </si>
  <si>
    <t>1、支持用户自己设置使用频率较高的应用，便于快捷使用
2、用于供应商自行维护企业基本信息、产品服务信息、资质证书等基础数据</t>
  </si>
  <si>
    <t>资质到期预警</t>
  </si>
  <si>
    <t>对于临期的资质证书系统提供预警功能以达到提醒供应商及时更新的目的</t>
  </si>
  <si>
    <t>商机线索/我的项目/我的收藏</t>
  </si>
  <si>
    <t>汇聚产业互联网、限额及企业采购的所有公告信息进行展示，并支持筛选展示我的项目、我的收藏及成交项目</t>
  </si>
  <si>
    <t>投标响应</t>
  </si>
  <si>
    <t>支持用户点击进入项目工作台进行报名等投标响应业务操作</t>
  </si>
  <si>
    <t>发票管理</t>
  </si>
  <si>
    <t>供应商发起根据采购商发起的发票申请，进行在线开票</t>
  </si>
  <si>
    <t>采购评价</t>
  </si>
  <si>
    <t>系统支持供应商对应项目过程中，对于采购人的评价，包含不限于付款评价、合作评价、综合评价、附件等</t>
  </si>
  <si>
    <t>V8.0.50.26升级</t>
  </si>
  <si>
    <t>采购需求套件</t>
  </si>
  <si>
    <t>预算编制</t>
  </si>
  <si>
    <t>采购预算,可以根据组织、个人、采购品进行预算设置</t>
  </si>
  <si>
    <t>采购需求申请</t>
  </si>
  <si>
    <t>业务部门发起,针对需要采购的物料提交采购需求申请</t>
  </si>
  <si>
    <t>需求池</t>
  </si>
  <si>
    <t>将所有申请的需求进行盛放，可对需求发起寻源，跟踪各个需求的状态。</t>
  </si>
  <si>
    <t>采购计划制定</t>
  </si>
  <si>
    <t>选择采购需求下行项目，进行年度、季度、月度采购计划制定</t>
  </si>
  <si>
    <t>V8.0.50.30规划</t>
  </si>
  <si>
    <t>需求跟踪</t>
  </si>
  <si>
    <t>系统支持需求单位与采购负责人对于采购需求下行项目的进度跟踪</t>
  </si>
  <si>
    <t>采购交易套件</t>
  </si>
  <si>
    <t>我的项目</t>
  </si>
  <si>
    <t>展示所有由当前账号发起项目信息</t>
  </si>
  <si>
    <t>项目审核</t>
  </si>
  <si>
    <t>针对项目下所有审核流程的集合处理及展示</t>
  </si>
  <si>
    <t>招标采购</t>
  </si>
  <si>
    <t>包含招标、投标、开标、评标、定标阶段，适用于需要组建评标委员会进行评审的项目</t>
  </si>
  <si>
    <t>询比采购</t>
  </si>
  <si>
    <t>邀请3家及以上供应商参与的一次性竞争报价</t>
  </si>
  <si>
    <t>谈判采购</t>
  </si>
  <si>
    <t>邀请2家及以上供应商参与谈判，支持一轮或多轮报价</t>
  </si>
  <si>
    <t>竞价采购</t>
  </si>
  <si>
    <t>邀请3家及以上供应商参与的多轮次竞争报价，需进行资格审查</t>
  </si>
  <si>
    <t>直接采购</t>
  </si>
  <si>
    <t>支持采购人直接邀请单一来源或特定的供应商进行协商，直接签订采购合同</t>
  </si>
  <si>
    <t>竞争性磋商</t>
  </si>
  <si>
    <t>框架协议</t>
  </si>
  <si>
    <t>包含供应商入围（一阶段）、实施采购（二阶段）、框架协议目录等功能</t>
  </si>
  <si>
    <t>委托协议</t>
  </si>
  <si>
    <t>采购人与采购代理发起委托协议签署并委托项目</t>
  </si>
  <si>
    <t>V8.0.50.28发版</t>
  </si>
  <si>
    <t>资格预审</t>
  </si>
  <si>
    <t>支持所有采购方式优先进行资格预审环节</t>
  </si>
  <si>
    <t>采购项目小组</t>
  </si>
  <si>
    <t>支持对采购项目下小组内部人员进行工作安排</t>
  </si>
  <si>
    <t>供应商资格审查</t>
  </si>
  <si>
    <t>对供应商基本信息、提交的资格审查文件进行审查，以确定其是否具备参与项目投标和履行合同的资格及能力</t>
  </si>
  <si>
    <t>答疑澄清</t>
  </si>
  <si>
    <t>可变更报价截止时间，支持多次答疑澄清</t>
  </si>
  <si>
    <t>踏勘通知</t>
  </si>
  <si>
    <t>支持采购人发布踏勘通知，并记录踏勘结果</t>
  </si>
  <si>
    <t>招标控制价</t>
  </si>
  <si>
    <t>提问</t>
  </si>
  <si>
    <t>在投标和报价过程中，针对供应商提出的问题，采购方给出相应的回复并提供相关材料</t>
  </si>
  <si>
    <t>异议</t>
  </si>
  <si>
    <t>在异议回复截止时间内，采购受理人可对提出的异议给出处理结果，如不实，则给予驳回，不处理</t>
  </si>
  <si>
    <t>投诉</t>
  </si>
  <si>
    <t>受理人对投诉方（如供应商）提交的投诉进行答复，如投诉信息不实，则退回处理。</t>
  </si>
  <si>
    <t>开标评标</t>
  </si>
  <si>
    <t>系统提供线上开标和评标功能，支持招标采购项目由评标委员会进行在线打分和汇总</t>
  </si>
  <si>
    <t>不见面开标</t>
  </si>
  <si>
    <t>系统支持不见面的开标工作，包含开标、签到、解密、导入、唱标、开标结束等功能</t>
  </si>
  <si>
    <t>V8.0.50.26发版</t>
  </si>
  <si>
    <t>不见面询标</t>
  </si>
  <si>
    <t>在评标过程中，投标人可与评委之间进行远程询标答辩使用</t>
  </si>
  <si>
    <t>电子评标</t>
  </si>
  <si>
    <t>系统提供在线编制招标文件、供应商制作投标文件、评标系统在线开标、评标等功能</t>
  </si>
  <si>
    <t>专家云签</t>
  </si>
  <si>
    <t>支持评标专家在评标签章环节使用评委云签，实现在线签章功能。
2种收费模式，3万一年或者50元/次</t>
  </si>
  <si>
    <t>采购异常</t>
  </si>
  <si>
    <t>系统支持对标段发起重新采购、变更采购方式、作废等采购异常处理方式</t>
  </si>
  <si>
    <t>项目归档</t>
  </si>
  <si>
    <t>系统支持对采购项目全环节进行电子档案归档</t>
  </si>
  <si>
    <t>订单履约套件</t>
  </si>
  <si>
    <t>合同模板</t>
  </si>
  <si>
    <t>支持合同模板预设、合同内容模板生成</t>
  </si>
  <si>
    <t>合同签署</t>
  </si>
  <si>
    <t>支持总价报价、单价报价模式下合同的签署、转订单，合同类型包含总价合同和单价合同</t>
  </si>
  <si>
    <t>合同变更</t>
  </si>
  <si>
    <t>支持对原合同的变更及变更后转订单</t>
  </si>
  <si>
    <t>合同终止/解除</t>
  </si>
  <si>
    <t>终止原合同内容，终止后原合同无法在转订单</t>
  </si>
  <si>
    <t>合同履约</t>
  </si>
  <si>
    <t>支持对原合同信息备案，展示相关履约信息</t>
  </si>
  <si>
    <t>订单下单</t>
  </si>
  <si>
    <t>用于寻源完成后，根据采购需求和选定的供应商信息，创建采购订单。</t>
  </si>
  <si>
    <t>订单确认</t>
  </si>
  <si>
    <t>针对采购人已发布的采购订单进度确认</t>
  </si>
  <si>
    <t>发货管理</t>
  </si>
  <si>
    <t>针对已确认的采购订单进行订单发货,可跟踪物流及快递</t>
  </si>
  <si>
    <t>收货管理</t>
  </si>
  <si>
    <t>供应商发货后,采购人进行收货确认管理,展示收货信息，并可确认收货</t>
  </si>
  <si>
    <t>退货管理</t>
  </si>
  <si>
    <t>在收货的时候，可以对于存在问题的货物进行退换，支持仅退货，退货退款多种方式</t>
  </si>
  <si>
    <t>订单打款</t>
  </si>
  <si>
    <t>对已经确认的订单进行支付，支持按运货批次，按金额比例，自定义多种支付方式</t>
  </si>
  <si>
    <t>订单发票</t>
  </si>
  <si>
    <t>采购人向供应商申请开票，支持快速导入发票抬头，快速导入开票项</t>
  </si>
  <si>
    <t>订单对账</t>
  </si>
  <si>
    <t>针对订单账单发起对账</t>
  </si>
  <si>
    <t>订单结算</t>
  </si>
  <si>
    <t>针对订单发起结算申请</t>
  </si>
  <si>
    <t>品类治理套件</t>
  </si>
  <si>
    <t>物料品类</t>
  </si>
  <si>
    <t>维护物料的种类，支持手动新增或直接导入</t>
  </si>
  <si>
    <t>物料信息</t>
  </si>
  <si>
    <t>维护具体的物料信息，支持手动新增或直接导入</t>
  </si>
  <si>
    <t>物料查询</t>
  </si>
  <si>
    <t>展示所有的物料信息，并支持根据物料名称等关键字进行搜索</t>
  </si>
  <si>
    <t>采购负责人设置</t>
  </si>
  <si>
    <t>维护物料品类的采购负责人，支持批量设置</t>
  </si>
  <si>
    <t>供应商管理套件</t>
  </si>
  <si>
    <t>邀请注册</t>
  </si>
  <si>
    <t>支持采购方通过批量导入或手动新增的方式发送邀请邮件，供应商通过点击邮件中的链接跳转进行企业认证操作</t>
  </si>
  <si>
    <t>准入管理</t>
  </si>
  <si>
    <t>按采购组织准入实现采购方对供应商企业工商信息、产品与服务信息、风险信息等内容的查看</t>
  </si>
  <si>
    <t>供应商库</t>
  </si>
  <si>
    <t>搭建供应商库，采购方可以在供应商工作台页面中基于供应商维度，进行管理、评价、考察、绩效、分级、分组、分类、处置等全生命周期操作。</t>
  </si>
  <si>
    <t>评价管理</t>
  </si>
  <si>
    <t>根据预设的评价指标、评价模板内容，基于参与项目发起对供应商的产品质量、售后服务、履约情况等维度的评价</t>
  </si>
  <si>
    <t>考察管理</t>
  </si>
  <si>
    <t>根据预设的考察指标、考察模板内容，基于合作的不同阶段发起对供应商入库、日常、季度、年度的考察</t>
  </si>
  <si>
    <t>分组分级</t>
  </si>
  <si>
    <t>实现对供应商的分组分级管理设置</t>
  </si>
  <si>
    <t>违规管理</t>
  </si>
  <si>
    <t>实现对供应商的违规管理设置</t>
  </si>
  <si>
    <t>标签管理</t>
  </si>
  <si>
    <t>对不同的供应商添加个性化标签内容</t>
  </si>
  <si>
    <t>供应商推荐</t>
  </si>
  <si>
    <t>实现供应商的推荐，包括平台推荐、根据搜索内容和筛选条件筛选出更多合适的外部供应商、内部供应商资源共享</t>
  </si>
  <si>
    <t>供应商风险</t>
  </si>
  <si>
    <t>实现对供应商的风险管理，包括对重要供应商的风险监控、关联关系查询和不良信息的推送等</t>
  </si>
  <si>
    <t>供应商子库</t>
  </si>
  <si>
    <t>可搭建租户自己的供应商子库，进行子库管理，考核等</t>
  </si>
  <si>
    <t>供应商看板</t>
  </si>
  <si>
    <t>供应商信息总览，包括供应商的基础数据信息、风险信息、行为信息、绩效信息、分组分级信息等</t>
  </si>
  <si>
    <t>专家管理套件</t>
  </si>
  <si>
    <t>专家excel导入</t>
  </si>
  <si>
    <t>系统支持批量导入专家，分为临时专家及正式入库</t>
  </si>
  <si>
    <t>专家信息管理</t>
  </si>
  <si>
    <t>系统支持包括专家信息管理、专业管理和所在单位管理等专家库管理功能</t>
  </si>
  <si>
    <t>专家请假管理</t>
  </si>
  <si>
    <t>系统支持对专家发起的请假，进行查看及审核</t>
  </si>
  <si>
    <t>资深专家申请</t>
  </si>
  <si>
    <t>系统支持对专家的资深申请进行查看及审核</t>
  </si>
  <si>
    <t>应急专家申请</t>
  </si>
  <si>
    <t>系统支持对专家的应急审核进行查看及审核</t>
  </si>
  <si>
    <t>专家抽取</t>
  </si>
  <si>
    <t>系统支持按照专业、地区等特定条件，随机抽取、手动通知专家，并设置回避条件</t>
  </si>
  <si>
    <t>专家语音通知</t>
  </si>
  <si>
    <t>系统支持对已抽取完成的专家进行语音通知及短信通知</t>
  </si>
  <si>
    <t>财务管理</t>
  </si>
  <si>
    <t>统一支付</t>
  </si>
  <si>
    <t>支持对接我司统一支付平台实现平台费用支付，分润模式</t>
  </si>
  <si>
    <t>三方银行对接</t>
  </si>
  <si>
    <t>与指定银行对接</t>
  </si>
  <si>
    <t>保证金管理</t>
  </si>
  <si>
    <t>线下缴纳</t>
  </si>
  <si>
    <t>供应商线下缴纳保证金之后，上传缴纳评审，需要人工判断保证金缴纳情况</t>
  </si>
  <si>
    <t>电子保函（推荐）</t>
  </si>
  <si>
    <t>项目分润</t>
  </si>
  <si>
    <t>支持金融机构开具电子投标保函，分润模式</t>
  </si>
  <si>
    <t>平安银行虚拟子账户（推荐）</t>
  </si>
  <si>
    <t>甲方需向平安银行进行保证金开户，该模式退标准版只允许原路退回。</t>
  </si>
  <si>
    <t>三方银行虚拟子账户</t>
  </si>
  <si>
    <t>支持对接其他银行的保证金开户，以虚拟子账户的模式收取投标保证金。</t>
  </si>
  <si>
    <t>配置中心</t>
  </si>
  <si>
    <t>企业资料管理（采购商）</t>
  </si>
  <si>
    <t>提供企业资料信息管理功能，包括收货地址、发票信息及收款账户的维护</t>
  </si>
  <si>
    <t>项目管理</t>
  </si>
  <si>
    <t>可以查看租户下所有项目情况</t>
  </si>
  <si>
    <t>采购制度</t>
  </si>
  <si>
    <t>用于维护并展示企业的采购制度规范，菜单首页默认展示最新版采购制度，支持用户修订采购制度、查看历史版本</t>
  </si>
  <si>
    <t>模块管理</t>
  </si>
  <si>
    <t>功能模块启用/停用、授权用户、角色</t>
  </si>
  <si>
    <t>组织架构管理</t>
  </si>
  <si>
    <t>1.支持自定义组织性质（业务组织和行政组织），支持扩展；
2.支持按组织性质形成组织层级关系</t>
  </si>
  <si>
    <t>审批流设置</t>
  </si>
  <si>
    <t>支持按业务类型及其他条件组合设置审批流</t>
  </si>
  <si>
    <t>采购规则</t>
  </si>
  <si>
    <t>对系统内的业务流程进行规范限制，包括黑名单限制、受邀单位下载文件限制及订单关联模式</t>
  </si>
  <si>
    <t>数据字典</t>
  </si>
  <si>
    <t>用户可自行维护部分数据内容，以便更加契合自身实际的业务需求，包括付款方式和账户类型</t>
  </si>
  <si>
    <t>短信模板</t>
  </si>
  <si>
    <t>支持预设短信消息模板，包括内容和格式</t>
  </si>
  <si>
    <t>评标办法模板</t>
  </si>
  <si>
    <t>支持评标办法模板管理，对评标模板进行增、删、改、查等操作</t>
  </si>
  <si>
    <t>供应商考核模型</t>
  </si>
  <si>
    <t>支持自定义供应商考核模型，对供应商进行综合评价</t>
  </si>
  <si>
    <t>风险预警套件</t>
  </si>
  <si>
    <t>监督管理</t>
  </si>
  <si>
    <t>支持监督点配置、风险预警、监督点设置、效能分析等</t>
  </si>
  <si>
    <t>大数据看板</t>
  </si>
  <si>
    <t>支持大数据统计报表、领导驾驶舱等</t>
  </si>
  <si>
    <t>采购商城4.0</t>
  </si>
  <si>
    <t>商品管理（上、下架）</t>
  </si>
  <si>
    <t>支持供应商自行管控商品库以及商品的上下架</t>
  </si>
  <si>
    <t>运费模板维护</t>
  </si>
  <si>
    <t>支持自由设置运费</t>
  </si>
  <si>
    <t>站外比价</t>
  </si>
  <si>
    <t>支持商品比价，关联三方平台对应商品的价格链接，可点击查看</t>
  </si>
  <si>
    <t>购物车</t>
  </si>
  <si>
    <t>支持购物车内不同维度的商品展示排列以及购物车内失效商品的管控</t>
  </si>
  <si>
    <t>统一报表</t>
  </si>
  <si>
    <t>标准统计分析报表</t>
  </si>
  <si>
    <t>例如：采购需求统计、采购订单统计、采购降成本分析、供应商分类统计等</t>
  </si>
  <si>
    <t>统计报表定制</t>
  </si>
  <si>
    <t>非标准的报表定制</t>
  </si>
  <si>
    <t>移动端</t>
  </si>
  <si>
    <t>采购人端</t>
  </si>
  <si>
    <t>包含首页、交易信息、消息中心、我的</t>
  </si>
  <si>
    <t>V8.0.50.32规划</t>
  </si>
  <si>
    <t>供应商端</t>
  </si>
  <si>
    <t>包含首页、找商机、消息中心、我的</t>
  </si>
  <si>
    <t>统一集成</t>
  </si>
  <si>
    <t>3个标准接口集成</t>
  </si>
  <si>
    <t>1、企业内部预算获取；2、企业内部网站交易信息推送；3、采购结果推送</t>
  </si>
  <si>
    <t>非标准接口定制（我方标准）</t>
  </si>
  <si>
    <t>我方出具接口标准，三方调用我方接口对接</t>
  </si>
  <si>
    <t>非标准接口定制（三方标准）</t>
  </si>
  <si>
    <t>按第三方出具的接口标准进行对接</t>
  </si>
  <si>
    <t>全部功能小计/年（含税6%）：</t>
  </si>
  <si>
    <t>必选功能小计/年（含税6%）：</t>
  </si>
  <si>
    <r>
      <rPr>
        <sz val="10"/>
        <color rgb="FF000000"/>
        <rFont val="宋体"/>
        <charset val="134"/>
      </rPr>
      <t>用户数量</t>
    </r>
    <r>
      <rPr>
        <sz val="10"/>
        <color rgb="FFFF0000"/>
        <rFont val="宋体"/>
        <charset val="134"/>
      </rPr>
      <t>（暂不按此收费，不限用户数）</t>
    </r>
  </si>
  <si>
    <t>授权采购人用户数量</t>
  </si>
  <si>
    <t>按授权数收费</t>
  </si>
  <si>
    <t>默认支持50用户数</t>
  </si>
  <si>
    <t>50＜用户数≤100，按300元/人/年收费</t>
  </si>
  <si>
    <t>100＜用户数≤200，按150元/人/年收费</t>
  </si>
  <si>
    <t>用户授权小计/年（含税6%）</t>
  </si>
  <si>
    <t>交付服务</t>
  </si>
  <si>
    <t>本地化实施报价</t>
  </si>
  <si>
    <t>一次性收费</t>
  </si>
  <si>
    <t>按实际情况报价</t>
  </si>
  <si>
    <t>培训报价</t>
  </si>
  <si>
    <t>客户化开发报价</t>
  </si>
  <si>
    <t>交付服务小计/年（含税6%）</t>
  </si>
  <si>
    <t>报价合计/年（含税6%）</t>
  </si>
  <si>
    <t>子系统</t>
  </si>
  <si>
    <t>基础平台</t>
  </si>
  <si>
    <t>门户网站
（个性化定制，二选一）</t>
  </si>
  <si>
    <t>商机线索</t>
  </si>
  <si>
    <t>建材交易子系统</t>
  </si>
  <si>
    <t>机械租赁子系统</t>
  </si>
  <si>
    <t>劳务用工子系统</t>
  </si>
  <si>
    <t>求职管理</t>
  </si>
  <si>
    <t>简历管理</t>
  </si>
  <si>
    <t>个人对自己的简历进行录入、修改、更新</t>
  </si>
  <si>
    <t>工作信息</t>
  </si>
  <si>
    <t>支持查看翻阅各项工作信息，方便招工找工</t>
  </si>
  <si>
    <t>班组管理</t>
  </si>
  <si>
    <t>班组长对自己组内的人员进行信息录入管理</t>
  </si>
  <si>
    <t>项目创建</t>
  </si>
  <si>
    <t>对某建筑工程的所需劳务项目进行项目创建</t>
  </si>
  <si>
    <t>项目参与</t>
  </si>
  <si>
    <t>简历被录用后会展示在项目参与菜单</t>
  </si>
  <si>
    <t>关注</t>
  </si>
  <si>
    <t>我的关注</t>
  </si>
  <si>
    <t>页面展示关注过的项目信息</t>
  </si>
  <si>
    <t>谁看过我</t>
  </si>
  <si>
    <t>页面展示浏览过页面的用户</t>
  </si>
  <si>
    <t>培训管理</t>
  </si>
  <si>
    <t>劳务培训参与信息的录入、管理</t>
  </si>
  <si>
    <t>用工服务</t>
  </si>
  <si>
    <t>采购人对个人、班组的劳务服务进行评价</t>
  </si>
  <si>
    <t>金融服务子系统</t>
  </si>
  <si>
    <t>首页</t>
  </si>
  <si>
    <t>信息展示</t>
  </si>
  <si>
    <t>首页面展示金融服务的各类信息</t>
  </si>
  <si>
    <t>服务数据</t>
  </si>
  <si>
    <t>首页面展示各类服务数据</t>
  </si>
  <si>
    <t>产品服务</t>
  </si>
  <si>
    <t>投标保函</t>
  </si>
  <si>
    <t>投标保函通过银行的良好信誉作为担保，有效解决了工程和采购项目中招、投标双方互不信任的问题，促进了招标的顺利进行</t>
  </si>
  <si>
    <t>融资产品</t>
  </si>
  <si>
    <t>一种金融工具或服务，旨在帮助企业或个人在短期内快速获取资金，以满足其经营、扩张或个人需求等不同方面的需求</t>
  </si>
  <si>
    <t>履约保函</t>
  </si>
  <si>
    <t>一种由银行或金融机构出具的保证文件，旨在确保合同的一方按照合同约定履行其义务</t>
  </si>
  <si>
    <t>农民工工资保函</t>
  </si>
  <si>
    <t>指担保人（银行、保险机构或专业担保公司）应承包商申请，保证其在劳务用工合同项下或根据工程所在地政府相关要求，按时、足额向参与工程建设的施工人员支付工资的书面承诺</t>
  </si>
  <si>
    <t>用户中心</t>
  </si>
  <si>
    <t>消息中心</t>
  </si>
  <si>
    <t>平台各类消息推送获取</t>
  </si>
  <si>
    <t>融资需求管理</t>
  </si>
  <si>
    <t>用户对提交的融资需求进行管理</t>
  </si>
  <si>
    <t>保函需求管理</t>
  </si>
  <si>
    <t>用户对提交的保函需求进行管理</t>
  </si>
  <si>
    <t>找资金</t>
  </si>
  <si>
    <t>用户如果对展示的金融产品满足不了需求，想要了解最优的贷款方案，即发布找资金需求，平台将在需求提交的48小时内安排专业人员解忧</t>
  </si>
  <si>
    <t>产品维护</t>
  </si>
  <si>
    <t>需求发布</t>
  </si>
  <si>
    <t>对产品所需的需求进行发布管理</t>
  </si>
  <si>
    <t>产品信息配置</t>
  </si>
  <si>
    <t>对金融产品各项产品信息进行配置管理</t>
  </si>
  <si>
    <t>产品上下架</t>
  </si>
  <si>
    <t>产品可进行上架、下架管理</t>
  </si>
  <si>
    <t>商城商品目录</t>
  </si>
  <si>
    <t>商城的商品按品类依次目录展示在移动端首页面</t>
  </si>
  <si>
    <t>商品详细信息</t>
  </si>
  <si>
    <t>商城的商城详细信息展示</t>
  </si>
  <si>
    <t>注册</t>
  </si>
  <si>
    <t>移动端账户注册</t>
  </si>
  <si>
    <t>登录</t>
  </si>
  <si>
    <t>移动端账户登录</t>
  </si>
  <si>
    <t>商品查询</t>
  </si>
  <si>
    <t>采购人对所需采购商品进行查询比价</t>
  </si>
  <si>
    <t>加入购物车</t>
  </si>
  <si>
    <t>采购人对所需采购商品加入购物车</t>
  </si>
  <si>
    <t>我的订单</t>
  </si>
  <si>
    <t>采购人对已采购商品进行订单查询</t>
  </si>
  <si>
    <t>售后管理</t>
  </si>
  <si>
    <t>对已成交的订单进行售后管理</t>
  </si>
  <si>
    <t>供应商对采购人下单的商品进行订单确认</t>
  </si>
  <si>
    <t>供应商对已成交的订单进行查看管理</t>
  </si>
  <si>
    <t>供应商对已成交的订单进行售后管理</t>
  </si>
  <si>
    <t>用户数量</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</si>
</sst>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7" formatCode="&quot;￥&quot;#,##0.00;&quot;￥&quot;\-#,##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41">
    <font>
      <sz val="11"/>
      <color theme="1"/>
      <name val="宋体"/>
      <charset val="134"/>
      <scheme val="minor"/>
    </font>
    <font>
      <sz val="10"/>
      <color theme="1"/>
      <name val="宋体"/>
      <charset val="134"/>
    </font>
    <font>
      <b/>
      <sz val="10"/>
      <color rgb="FFFFFFFF"/>
      <name val="宋体"/>
      <charset val="134"/>
    </font>
    <font>
      <sz val="10"/>
      <color rgb="FF000000"/>
      <name val="宋体"/>
      <charset val="134"/>
    </font>
    <font>
      <sz val="10"/>
      <color theme="4"/>
      <name val="宋体"/>
      <charset val="134"/>
    </font>
    <font>
      <sz val="10"/>
      <color rgb="FFFF0000"/>
      <name val="宋体"/>
      <charset val="134"/>
    </font>
    <font>
      <sz val="10"/>
      <color rgb="FF4472C4"/>
      <name val="宋体"/>
      <charset val="134"/>
    </font>
    <font>
      <sz val="10"/>
      <name val="宋体"/>
      <charset val="134"/>
    </font>
    <font>
      <sz val="11"/>
      <color rgb="FF000000"/>
      <name val="宋体"/>
      <charset val="134"/>
    </font>
    <font>
      <strike/>
      <sz val="10"/>
      <color rgb="FF4472C4"/>
      <name val="宋体"/>
      <charset val="134"/>
    </font>
    <font>
      <strike/>
      <sz val="10"/>
      <color theme="1"/>
      <name val="宋体"/>
      <charset val="134"/>
    </font>
    <font>
      <sz val="10"/>
      <color rgb="FF417FF9"/>
      <name val="宋体"/>
      <charset val="134"/>
    </font>
    <font>
      <b/>
      <sz val="10"/>
      <color rgb="FF000000"/>
      <name val="宋体"/>
      <charset val="134"/>
    </font>
    <font>
      <b/>
      <sz val="10"/>
      <color theme="1"/>
      <name val="宋体"/>
      <charset val="134"/>
    </font>
    <font>
      <sz val="11"/>
      <color theme="1"/>
      <name val="等线"/>
      <charset val="134"/>
    </font>
    <font>
      <sz val="11"/>
      <color rgb="FF000000"/>
      <name val="等线"/>
      <charset val="134"/>
    </font>
    <font>
      <b/>
      <sz val="11"/>
      <color rgb="FFFF0000"/>
      <name val="宋体"/>
      <charset val="134"/>
    </font>
    <font>
      <b/>
      <sz val="11"/>
      <color theme="1"/>
      <name val="宋体"/>
      <charset val="134"/>
      <scheme val="minor"/>
    </font>
    <font>
      <b/>
      <sz val="11"/>
      <color rgb="FFFF0000"/>
      <name val="宋体"/>
      <charset val="134"/>
      <scheme val="minor"/>
    </font>
    <font>
      <b/>
      <sz val="11"/>
      <color rgb="FF000000"/>
      <name val="宋体"/>
      <charset val="134"/>
    </font>
    <font>
      <sz val="10"/>
      <color rgb="FFFF0000"/>
      <name val="宋体"/>
      <charset val="134"/>
      <scheme val="minor"/>
    </font>
    <font>
      <b/>
      <sz val="10"/>
      <color rgb="FFFF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070C0"/>
        <bgColor indexed="64"/>
      </patternFill>
    </fill>
    <fill>
      <patternFill patternType="solid">
        <fgColor theme="3"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0" fillId="4" borderId="9" applyNumberFormat="0" applyFon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10" applyNumberFormat="0" applyFill="0" applyAlignment="0" applyProtection="0">
      <alignment vertical="center"/>
    </xf>
    <xf numFmtId="0" fontId="28" fillId="0" borderId="10" applyNumberFormat="0" applyFill="0" applyAlignment="0" applyProtection="0">
      <alignment vertical="center"/>
    </xf>
    <xf numFmtId="0" fontId="29" fillId="0" borderId="11" applyNumberFormat="0" applyFill="0" applyAlignment="0" applyProtection="0">
      <alignment vertical="center"/>
    </xf>
    <xf numFmtId="0" fontId="29" fillId="0" borderId="0" applyNumberFormat="0" applyFill="0" applyBorder="0" applyAlignment="0" applyProtection="0">
      <alignment vertical="center"/>
    </xf>
    <xf numFmtId="0" fontId="30" fillId="5" borderId="12" applyNumberFormat="0" applyAlignment="0" applyProtection="0">
      <alignment vertical="center"/>
    </xf>
    <xf numFmtId="0" fontId="31" fillId="6" borderId="13" applyNumberFormat="0" applyAlignment="0" applyProtection="0">
      <alignment vertical="center"/>
    </xf>
    <xf numFmtId="0" fontId="32" fillId="6" borderId="12" applyNumberFormat="0" applyAlignment="0" applyProtection="0">
      <alignment vertical="center"/>
    </xf>
    <xf numFmtId="0" fontId="33" fillId="7" borderId="14" applyNumberFormat="0" applyAlignment="0" applyProtection="0">
      <alignment vertical="center"/>
    </xf>
    <xf numFmtId="0" fontId="34" fillId="0" borderId="15" applyNumberFormat="0" applyFill="0" applyAlignment="0" applyProtection="0">
      <alignment vertical="center"/>
    </xf>
    <xf numFmtId="0" fontId="35" fillId="0" borderId="16" applyNumberFormat="0" applyFill="0" applyAlignment="0" applyProtection="0">
      <alignment vertical="center"/>
    </xf>
    <xf numFmtId="0" fontId="36" fillId="8" borderId="0" applyNumberFormat="0" applyBorder="0" applyAlignment="0" applyProtection="0">
      <alignment vertical="center"/>
    </xf>
    <xf numFmtId="0" fontId="37" fillId="9" borderId="0" applyNumberFormat="0" applyBorder="0" applyAlignment="0" applyProtection="0">
      <alignment vertical="center"/>
    </xf>
    <xf numFmtId="0" fontId="38" fillId="10" borderId="0" applyNumberFormat="0" applyBorder="0" applyAlignment="0" applyProtection="0">
      <alignment vertical="center"/>
    </xf>
    <xf numFmtId="0" fontId="39" fillId="11" borderId="0" applyNumberFormat="0" applyBorder="0" applyAlignment="0" applyProtection="0">
      <alignment vertical="center"/>
    </xf>
    <xf numFmtId="0" fontId="40" fillId="12" borderId="0" applyNumberFormat="0" applyBorder="0" applyAlignment="0" applyProtection="0">
      <alignment vertical="center"/>
    </xf>
    <xf numFmtId="0" fontId="40" fillId="13" borderId="0" applyNumberFormat="0" applyBorder="0" applyAlignment="0" applyProtection="0">
      <alignment vertical="center"/>
    </xf>
    <xf numFmtId="0" fontId="39" fillId="14" borderId="0" applyNumberFormat="0" applyBorder="0" applyAlignment="0" applyProtection="0">
      <alignment vertical="center"/>
    </xf>
    <xf numFmtId="0" fontId="39"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39" fillId="18" borderId="0" applyNumberFormat="0" applyBorder="0" applyAlignment="0" applyProtection="0">
      <alignment vertical="center"/>
    </xf>
    <xf numFmtId="0" fontId="39"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39" fillId="22" borderId="0" applyNumberFormat="0" applyBorder="0" applyAlignment="0" applyProtection="0">
      <alignment vertical="center"/>
    </xf>
    <xf numFmtId="0" fontId="39"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39" fillId="26" borderId="0" applyNumberFormat="0" applyBorder="0" applyAlignment="0" applyProtection="0">
      <alignment vertical="center"/>
    </xf>
    <xf numFmtId="0" fontId="39"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39" fillId="30" borderId="0" applyNumberFormat="0" applyBorder="0" applyAlignment="0" applyProtection="0">
      <alignment vertical="center"/>
    </xf>
    <xf numFmtId="0" fontId="39" fillId="31" borderId="0" applyNumberFormat="0" applyBorder="0" applyAlignment="0" applyProtection="0">
      <alignment vertical="center"/>
    </xf>
    <xf numFmtId="0" fontId="40" fillId="32" borderId="0" applyNumberFormat="0" applyBorder="0" applyAlignment="0" applyProtection="0">
      <alignment vertical="center"/>
    </xf>
    <xf numFmtId="0" fontId="40" fillId="33" borderId="0" applyNumberFormat="0" applyBorder="0" applyAlignment="0" applyProtection="0">
      <alignment vertical="center"/>
    </xf>
    <xf numFmtId="0" fontId="39" fillId="34" borderId="0" applyNumberFormat="0" applyBorder="0" applyAlignment="0" applyProtection="0">
      <alignment vertical="center"/>
    </xf>
  </cellStyleXfs>
  <cellXfs count="139">
    <xf numFmtId="0" fontId="0" fillId="0" borderId="0" xfId="0">
      <alignment vertical="center"/>
    </xf>
    <xf numFmtId="0" fontId="0" fillId="0" borderId="0" xfId="0" applyFill="1">
      <alignment vertical="center"/>
    </xf>
    <xf numFmtId="0" fontId="0" fillId="0" borderId="0" xfId="0" applyFill="1" applyAlignment="1">
      <alignment horizontal="center" vertical="center"/>
    </xf>
    <xf numFmtId="0" fontId="0" fillId="0" borderId="0" xfId="0" applyFill="1" applyAlignment="1">
      <alignment horizontal="left" vertical="center"/>
    </xf>
    <xf numFmtId="0" fontId="1" fillId="0" borderId="0" xfId="0" applyFont="1" applyFill="1" applyAlignment="1">
      <alignment horizontal="center" vertical="center" wrapText="1"/>
    </xf>
    <xf numFmtId="0" fontId="0" fillId="0" borderId="0" xfId="0" applyFill="1" applyAlignment="1">
      <alignment vertical="center" wrapText="1"/>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2" borderId="2" xfId="0" applyFont="1" applyFill="1" applyBorder="1" applyAlignment="1">
      <alignment horizontal="center" vertical="center" wrapText="1"/>
    </xf>
    <xf numFmtId="0" fontId="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3" fillId="0" borderId="3" xfId="0" applyFont="1" applyFill="1" applyBorder="1" applyAlignment="1">
      <alignment horizontal="left" vertical="center" wrapText="1"/>
    </xf>
    <xf numFmtId="0" fontId="4" fillId="0" borderId="3"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5" fillId="0" borderId="3" xfId="0" applyNumberFormat="1" applyFont="1" applyFill="1" applyBorder="1" applyAlignment="1">
      <alignment horizontal="center" vertical="center" wrapText="1"/>
    </xf>
    <xf numFmtId="7" fontId="3" fillId="0" borderId="3" xfId="0" applyNumberFormat="1" applyFont="1" applyFill="1" applyBorder="1" applyAlignment="1">
      <alignment horizontal="center" vertical="center" wrapText="1"/>
    </xf>
    <xf numFmtId="176" fontId="3" fillId="0" borderId="3" xfId="0" applyNumberFormat="1" applyFont="1" applyFill="1" applyBorder="1" applyAlignment="1">
      <alignment horizontal="center" vertical="center" wrapText="1"/>
    </xf>
    <xf numFmtId="0" fontId="3" fillId="0" borderId="3" xfId="0" applyFont="1" applyFill="1" applyBorder="1" applyAlignment="1">
      <alignment vertical="center" wrapText="1"/>
    </xf>
    <xf numFmtId="7" fontId="1" fillId="0" borderId="3" xfId="0" applyNumberFormat="1" applyFont="1" applyFill="1" applyBorder="1" applyAlignment="1">
      <alignment horizontal="center" vertical="center" wrapText="1"/>
    </xf>
    <xf numFmtId="176" fontId="1" fillId="0" borderId="3" xfId="0" applyNumberFormat="1" applyFont="1" applyFill="1" applyBorder="1" applyAlignment="1">
      <alignment horizontal="center" vertical="center" wrapText="1"/>
    </xf>
    <xf numFmtId="0" fontId="6" fillId="0" borderId="3" xfId="0" applyFont="1" applyFill="1" applyBorder="1" applyAlignment="1">
      <alignment horizontal="center" vertical="center" wrapText="1"/>
    </xf>
    <xf numFmtId="0" fontId="5" fillId="0" borderId="3" xfId="0" applyFont="1" applyFill="1" applyBorder="1" applyAlignment="1">
      <alignment horizontal="left" vertical="center" wrapText="1"/>
    </xf>
    <xf numFmtId="0" fontId="5" fillId="0" borderId="3" xfId="0" applyFont="1" applyFill="1" applyBorder="1" applyAlignment="1">
      <alignment horizontal="center" vertical="center" wrapText="1"/>
    </xf>
    <xf numFmtId="7" fontId="7" fillId="0" borderId="3" xfId="0" applyNumberFormat="1" applyFont="1" applyFill="1" applyBorder="1" applyAlignment="1">
      <alignment horizontal="center" vertical="center" wrapText="1"/>
    </xf>
    <xf numFmtId="176" fontId="7" fillId="0" borderId="3" xfId="0" applyNumberFormat="1" applyFont="1" applyFill="1" applyBorder="1" applyAlignment="1">
      <alignment horizontal="center" vertical="center" wrapText="1"/>
    </xf>
    <xf numFmtId="0" fontId="5" fillId="0" borderId="3" xfId="0" applyFont="1" applyFill="1" applyBorder="1" applyAlignment="1">
      <alignment vertical="center" wrapText="1"/>
    </xf>
    <xf numFmtId="0" fontId="8" fillId="0" borderId="0" xfId="0" applyFont="1" applyFill="1" applyAlignment="1">
      <alignment horizontal="left" vertical="center" wrapText="1"/>
    </xf>
    <xf numFmtId="0" fontId="1" fillId="0" borderId="3" xfId="0" applyFont="1" applyFill="1" applyBorder="1" applyAlignment="1">
      <alignment horizontal="left" vertical="center" wrapText="1"/>
    </xf>
    <xf numFmtId="0" fontId="0" fillId="0" borderId="0" xfId="0" applyFill="1" applyAlignment="1">
      <alignment horizontal="left" vertical="center" wrapText="1"/>
    </xf>
    <xf numFmtId="7" fontId="3" fillId="0" borderId="3" xfId="0" applyNumberFormat="1" applyFont="1" applyFill="1" applyBorder="1" applyAlignment="1">
      <alignment horizontal="center" vertical="center"/>
    </xf>
    <xf numFmtId="0" fontId="1" fillId="0" borderId="3" xfId="0" applyFont="1" applyFill="1" applyBorder="1" applyAlignment="1">
      <alignment horizontal="left" vertical="center"/>
    </xf>
    <xf numFmtId="0" fontId="6" fillId="0" borderId="3" xfId="0" applyFont="1" applyFill="1" applyBorder="1" applyAlignment="1">
      <alignment horizontal="center" vertical="center"/>
    </xf>
    <xf numFmtId="0" fontId="1" fillId="0" borderId="3" xfId="0" applyFont="1" applyFill="1" applyBorder="1">
      <alignment vertical="center"/>
    </xf>
    <xf numFmtId="7" fontId="1" fillId="0" borderId="3" xfId="0" applyNumberFormat="1" applyFont="1" applyFill="1" applyBorder="1" applyAlignment="1">
      <alignment horizontal="center" vertical="center"/>
    </xf>
    <xf numFmtId="0" fontId="9" fillId="0" borderId="3" xfId="0" applyFont="1" applyFill="1" applyBorder="1" applyAlignment="1">
      <alignment horizontal="center" vertical="center"/>
    </xf>
    <xf numFmtId="7" fontId="10" fillId="0" borderId="3" xfId="0" applyNumberFormat="1" applyFont="1" applyFill="1" applyBorder="1" applyAlignment="1">
      <alignment horizontal="center" vertical="center"/>
    </xf>
    <xf numFmtId="176" fontId="10" fillId="0" borderId="3" xfId="0" applyNumberFormat="1" applyFont="1" applyFill="1" applyBorder="1" applyAlignment="1">
      <alignment horizontal="center" vertical="center" wrapText="1"/>
    </xf>
    <xf numFmtId="0" fontId="3" fillId="0" borderId="3" xfId="0" applyFont="1" applyFill="1" applyBorder="1">
      <alignment vertical="center"/>
    </xf>
    <xf numFmtId="0" fontId="5" fillId="0" borderId="3" xfId="0" applyFont="1" applyFill="1" applyBorder="1" applyAlignment="1">
      <alignment horizontal="center" vertical="center"/>
    </xf>
    <xf numFmtId="0" fontId="3" fillId="0" borderId="3" xfId="0" applyFont="1" applyFill="1" applyBorder="1" applyAlignment="1">
      <alignment horizontal="left" vertical="center"/>
    </xf>
    <xf numFmtId="0" fontId="3" fillId="0" borderId="4"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11" fillId="0" borderId="3" xfId="0" applyFont="1" applyFill="1" applyBorder="1" applyAlignment="1">
      <alignment horizontal="center" vertical="center"/>
    </xf>
    <xf numFmtId="0" fontId="1" fillId="0" borderId="3" xfId="0" applyFont="1" applyFill="1" applyBorder="1" applyAlignment="1">
      <alignment vertical="center" wrapText="1"/>
    </xf>
    <xf numFmtId="0" fontId="3" fillId="0" borderId="6" xfId="0" applyFont="1" applyFill="1" applyBorder="1" applyAlignment="1">
      <alignment horizontal="center" vertical="center" wrapText="1"/>
    </xf>
    <xf numFmtId="0" fontId="5" fillId="0" borderId="4" xfId="0" applyFont="1" applyFill="1" applyBorder="1" applyAlignment="1">
      <alignment horizontal="center" vertical="center"/>
    </xf>
    <xf numFmtId="0" fontId="5" fillId="0" borderId="5" xfId="0" applyFont="1" applyFill="1" applyBorder="1" applyAlignment="1">
      <alignment horizontal="center" vertical="center"/>
    </xf>
    <xf numFmtId="0" fontId="5" fillId="0" borderId="6" xfId="0" applyFont="1" applyFill="1" applyBorder="1" applyAlignment="1">
      <alignment horizontal="center" vertical="center"/>
    </xf>
    <xf numFmtId="0" fontId="1" fillId="0" borderId="4" xfId="0" applyFont="1" applyFill="1" applyBorder="1" applyAlignment="1">
      <alignment horizontal="left" vertical="center"/>
    </xf>
    <xf numFmtId="7" fontId="3" fillId="0" borderId="4" xfId="0" applyNumberFormat="1" applyFont="1" applyFill="1" applyBorder="1" applyAlignment="1">
      <alignment horizontal="center" vertical="center"/>
    </xf>
    <xf numFmtId="176" fontId="3" fillId="0" borderId="4" xfId="0" applyNumberFormat="1" applyFont="1" applyFill="1" applyBorder="1" applyAlignment="1">
      <alignment horizontal="center" vertical="center" wrapText="1"/>
    </xf>
    <xf numFmtId="0" fontId="1" fillId="0" borderId="5" xfId="0" applyFont="1" applyFill="1" applyBorder="1" applyAlignment="1">
      <alignment horizontal="left" vertical="center"/>
    </xf>
    <xf numFmtId="7" fontId="3" fillId="0" borderId="5" xfId="0" applyNumberFormat="1" applyFont="1" applyFill="1" applyBorder="1" applyAlignment="1">
      <alignment horizontal="center" vertical="center"/>
    </xf>
    <xf numFmtId="176" fontId="3" fillId="0" borderId="5" xfId="0" applyNumberFormat="1" applyFont="1" applyFill="1" applyBorder="1" applyAlignment="1">
      <alignment horizontal="center" vertical="center" wrapText="1"/>
    </xf>
    <xf numFmtId="0" fontId="1" fillId="0" borderId="6" xfId="0" applyFont="1" applyFill="1" applyBorder="1" applyAlignment="1">
      <alignment horizontal="left" vertical="center"/>
    </xf>
    <xf numFmtId="7" fontId="3" fillId="0" borderId="6" xfId="0" applyNumberFormat="1" applyFont="1" applyFill="1" applyBorder="1" applyAlignment="1">
      <alignment horizontal="center" vertical="center"/>
    </xf>
    <xf numFmtId="176" fontId="3" fillId="0" borderId="6" xfId="0" applyNumberFormat="1" applyFont="1" applyFill="1" applyBorder="1" applyAlignment="1">
      <alignment horizontal="center" vertical="center" wrapText="1"/>
    </xf>
    <xf numFmtId="0" fontId="3" fillId="0" borderId="4" xfId="0" applyFont="1" applyFill="1" applyBorder="1" applyAlignment="1">
      <alignment horizontal="left" vertical="center"/>
    </xf>
    <xf numFmtId="0" fontId="3" fillId="0" borderId="6" xfId="0" applyFont="1" applyFill="1" applyBorder="1" applyAlignment="1">
      <alignment horizontal="left" vertical="center"/>
    </xf>
    <xf numFmtId="0" fontId="3" fillId="0" borderId="5" xfId="0" applyFont="1" applyFill="1" applyBorder="1" applyAlignment="1">
      <alignment horizontal="left" vertical="center"/>
    </xf>
    <xf numFmtId="0" fontId="3" fillId="0" borderId="4" xfId="0" applyFont="1" applyFill="1" applyBorder="1" applyAlignment="1">
      <alignment horizontal="left" vertical="center" wrapText="1"/>
    </xf>
    <xf numFmtId="0" fontId="3" fillId="0" borderId="5" xfId="0" applyFont="1" applyFill="1" applyBorder="1" applyAlignment="1">
      <alignment horizontal="left" vertical="center" wrapText="1"/>
    </xf>
    <xf numFmtId="0" fontId="3" fillId="0" borderId="6" xfId="0" applyFont="1" applyFill="1" applyBorder="1" applyAlignment="1">
      <alignment horizontal="left" vertical="center" wrapText="1"/>
    </xf>
    <xf numFmtId="0" fontId="12" fillId="0" borderId="3" xfId="0" applyFont="1" applyFill="1" applyBorder="1" applyAlignment="1">
      <alignment horizontal="left" vertical="center"/>
    </xf>
    <xf numFmtId="0" fontId="12" fillId="0" borderId="3" xfId="0" applyFont="1" applyFill="1" applyBorder="1" applyAlignment="1">
      <alignment horizontal="center" vertical="center"/>
    </xf>
    <xf numFmtId="0" fontId="12" fillId="0" borderId="3" xfId="0" applyFont="1" applyFill="1" applyBorder="1" applyAlignment="1">
      <alignment horizontal="right" vertical="center"/>
    </xf>
    <xf numFmtId="0" fontId="12" fillId="0" borderId="3" xfId="0" applyFont="1" applyFill="1" applyBorder="1" applyAlignment="1">
      <alignment horizontal="center" vertical="center" wrapText="1"/>
    </xf>
    <xf numFmtId="7" fontId="13" fillId="0" borderId="3" xfId="0" applyNumberFormat="1" applyFont="1" applyFill="1" applyBorder="1" applyAlignment="1">
      <alignment horizontal="center" vertical="center"/>
    </xf>
    <xf numFmtId="7" fontId="12" fillId="0" borderId="3" xfId="0" applyNumberFormat="1" applyFont="1" applyFill="1" applyBorder="1" applyAlignment="1">
      <alignment horizontal="center" vertical="center" wrapText="1"/>
    </xf>
    <xf numFmtId="0" fontId="14" fillId="0" borderId="0" xfId="0" applyFont="1" applyFill="1" applyAlignment="1">
      <alignment horizontal="center" vertical="center"/>
    </xf>
    <xf numFmtId="0" fontId="15" fillId="0" borderId="0" xfId="0" applyFont="1" applyFill="1" applyAlignment="1">
      <alignment horizontal="left" vertical="center"/>
    </xf>
    <xf numFmtId="0" fontId="15" fillId="0" borderId="0" xfId="0" applyFont="1" applyFill="1" applyAlignment="1">
      <alignment horizontal="center" vertical="center"/>
    </xf>
    <xf numFmtId="0" fontId="15" fillId="0" borderId="0" xfId="0" applyFont="1" applyFill="1" applyAlignment="1">
      <alignment horizontal="right" vertical="center"/>
    </xf>
    <xf numFmtId="7" fontId="14" fillId="0" borderId="0" xfId="0" applyNumberFormat="1" applyFont="1" applyFill="1" applyAlignment="1">
      <alignment horizontal="center" vertical="center"/>
    </xf>
    <xf numFmtId="7" fontId="1" fillId="0" borderId="0" xfId="0" applyNumberFormat="1" applyFont="1" applyFill="1" applyAlignment="1">
      <alignment horizontal="center" vertical="center" wrapText="1"/>
    </xf>
    <xf numFmtId="0" fontId="16" fillId="0" borderId="0" xfId="0" applyFont="1" applyFill="1" applyAlignment="1">
      <alignment horizontal="left" vertical="center"/>
    </xf>
    <xf numFmtId="0" fontId="17" fillId="0" borderId="0" xfId="0" applyFont="1" applyFill="1" applyAlignment="1">
      <alignment horizontal="left" vertical="center"/>
    </xf>
    <xf numFmtId="0" fontId="18" fillId="0" borderId="0" xfId="0" applyFont="1" applyFill="1" applyAlignment="1">
      <alignment horizontal="center" vertical="center"/>
    </xf>
    <xf numFmtId="0" fontId="19" fillId="0" borderId="0" xfId="0" applyFont="1" applyFill="1" applyAlignment="1">
      <alignment horizontal="left" vertical="center"/>
    </xf>
    <xf numFmtId="0" fontId="20" fillId="0" borderId="0" xfId="0" applyFont="1" applyFill="1">
      <alignment vertical="center"/>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21" fillId="3" borderId="1" xfId="0" applyFont="1" applyFill="1" applyBorder="1" applyAlignment="1">
      <alignment horizontal="center" vertical="center"/>
    </xf>
    <xf numFmtId="0" fontId="1" fillId="0" borderId="1" xfId="0" applyFont="1" applyFill="1" applyBorder="1" applyAlignment="1">
      <alignment horizontal="center" vertical="center"/>
    </xf>
    <xf numFmtId="0" fontId="3" fillId="0" borderId="2" xfId="0" applyFont="1" applyFill="1" applyBorder="1" applyAlignment="1">
      <alignment horizontal="left" vertical="center" wrapText="1"/>
    </xf>
    <xf numFmtId="0" fontId="4" fillId="0" borderId="1" xfId="0" applyFont="1" applyFill="1" applyBorder="1" applyAlignment="1">
      <alignment horizontal="center" vertical="center" wrapText="1"/>
    </xf>
    <xf numFmtId="0" fontId="3" fillId="0" borderId="1" xfId="0" applyFont="1" applyFill="1" applyBorder="1" applyAlignment="1">
      <alignment horizontal="left" vertical="center" wrapText="1"/>
    </xf>
    <xf numFmtId="0" fontId="3" fillId="0" borderId="1" xfId="0" applyFont="1" applyFill="1" applyBorder="1" applyAlignment="1">
      <alignment horizontal="center" vertical="center" wrapText="1"/>
    </xf>
    <xf numFmtId="0" fontId="5" fillId="0" borderId="1" xfId="0" applyNumberFormat="1" applyFont="1" applyFill="1" applyBorder="1" applyAlignment="1">
      <alignment horizontal="center" vertical="center" wrapText="1"/>
    </xf>
    <xf numFmtId="7" fontId="3" fillId="0" borderId="1" xfId="0" applyNumberFormat="1" applyFont="1" applyFill="1" applyBorder="1" applyAlignment="1">
      <alignment horizontal="center" vertical="center" wrapText="1"/>
    </xf>
    <xf numFmtId="176" fontId="3" fillId="0" borderId="1" xfId="0" applyNumberFormat="1" applyFont="1" applyFill="1" applyBorder="1" applyAlignment="1">
      <alignment horizontal="center" vertical="center" wrapText="1"/>
    </xf>
    <xf numFmtId="0" fontId="3" fillId="0" borderId="1" xfId="0" applyFont="1" applyFill="1" applyBorder="1" applyAlignment="1">
      <alignment vertical="center" wrapText="1"/>
    </xf>
    <xf numFmtId="0" fontId="20" fillId="0" borderId="1" xfId="0" applyFont="1" applyFill="1" applyBorder="1">
      <alignment vertical="center"/>
    </xf>
    <xf numFmtId="0" fontId="3" fillId="0" borderId="7" xfId="0" applyFont="1" applyFill="1" applyBorder="1" applyAlignment="1">
      <alignment horizontal="left" vertical="center" wrapText="1"/>
    </xf>
    <xf numFmtId="7" fontId="1" fillId="0" borderId="1" xfId="0" applyNumberFormat="1" applyFont="1" applyFill="1" applyBorder="1" applyAlignment="1">
      <alignment horizontal="center" vertical="center" wrapText="1"/>
    </xf>
    <xf numFmtId="176" fontId="1" fillId="0" borderId="1" xfId="0" applyNumberFormat="1" applyFont="1" applyFill="1" applyBorder="1" applyAlignment="1">
      <alignment horizontal="center" vertical="center" wrapText="1"/>
    </xf>
    <xf numFmtId="0" fontId="6" fillId="0" borderId="1" xfId="0" applyFont="1" applyFill="1" applyBorder="1" applyAlignment="1">
      <alignment horizontal="center" vertical="center" wrapText="1"/>
    </xf>
    <xf numFmtId="0" fontId="3" fillId="0" borderId="8" xfId="0" applyFont="1" applyFill="1" applyBorder="1" applyAlignment="1">
      <alignment horizontal="left" vertical="center" wrapText="1"/>
    </xf>
    <xf numFmtId="0" fontId="5" fillId="0" borderId="1" xfId="0" applyFont="1" applyFill="1" applyBorder="1" applyAlignment="1">
      <alignment horizontal="center" vertical="center" wrapText="1"/>
    </xf>
    <xf numFmtId="0" fontId="5" fillId="0" borderId="1" xfId="0" applyFont="1" applyFill="1" applyBorder="1" applyAlignment="1">
      <alignment horizontal="left" vertical="center" wrapText="1"/>
    </xf>
    <xf numFmtId="7" fontId="7" fillId="0" borderId="1" xfId="0" applyNumberFormat="1" applyFont="1" applyFill="1" applyBorder="1" applyAlignment="1">
      <alignment horizontal="center" vertical="center" wrapText="1"/>
    </xf>
    <xf numFmtId="176" fontId="7" fillId="0" borderId="1" xfId="0" applyNumberFormat="1" applyFont="1" applyFill="1" applyBorder="1" applyAlignment="1">
      <alignment horizontal="center" vertical="center" wrapText="1"/>
    </xf>
    <xf numFmtId="0" fontId="5" fillId="0" borderId="1" xfId="0" applyFont="1" applyFill="1" applyBorder="1" applyAlignment="1">
      <alignment vertical="center" wrapText="1"/>
    </xf>
    <xf numFmtId="0" fontId="1" fillId="0" borderId="1" xfId="0" applyFont="1" applyFill="1" applyBorder="1" applyAlignment="1">
      <alignment horizontal="left" vertical="center" wrapText="1"/>
    </xf>
    <xf numFmtId="0" fontId="5" fillId="0" borderId="1" xfId="0" applyFont="1" applyFill="1" applyBorder="1" applyAlignment="1">
      <alignment horizontal="left" vertical="center"/>
    </xf>
    <xf numFmtId="0" fontId="5" fillId="0" borderId="1" xfId="0" applyFont="1" applyFill="1" applyBorder="1">
      <alignment vertical="center"/>
    </xf>
    <xf numFmtId="7" fontId="3" fillId="0" borderId="1" xfId="0" applyNumberFormat="1" applyFont="1" applyFill="1" applyBorder="1" applyAlignment="1">
      <alignment horizontal="center" vertical="center"/>
    </xf>
    <xf numFmtId="0" fontId="3" fillId="0" borderId="1" xfId="0" applyFont="1" applyFill="1" applyBorder="1" applyAlignment="1">
      <alignment horizontal="left" vertical="center"/>
    </xf>
    <xf numFmtId="0" fontId="6" fillId="0" borderId="1" xfId="0" applyFont="1" applyFill="1" applyBorder="1" applyAlignment="1">
      <alignment horizontal="center" vertical="center"/>
    </xf>
    <xf numFmtId="0" fontId="1" fillId="0" borderId="1" xfId="0" applyFont="1" applyFill="1" applyBorder="1">
      <alignment vertical="center"/>
    </xf>
    <xf numFmtId="0" fontId="5" fillId="0" borderId="1" xfId="0" applyFont="1" applyFill="1" applyBorder="1" applyAlignment="1">
      <alignment horizontal="center" vertical="center"/>
    </xf>
    <xf numFmtId="0" fontId="3" fillId="0" borderId="1" xfId="0" applyFont="1" applyFill="1" applyBorder="1">
      <alignment vertical="center"/>
    </xf>
    <xf numFmtId="0" fontId="11" fillId="0" borderId="1" xfId="0" applyFont="1" applyFill="1" applyBorder="1" applyAlignment="1">
      <alignment horizontal="center" vertical="center"/>
    </xf>
    <xf numFmtId="0" fontId="5" fillId="0" borderId="2" xfId="0" applyFont="1" applyFill="1" applyBorder="1" applyAlignment="1">
      <alignment horizontal="center" vertical="center"/>
    </xf>
    <xf numFmtId="0" fontId="5" fillId="0" borderId="7" xfId="0" applyFont="1" applyFill="1" applyBorder="1" applyAlignment="1">
      <alignment horizontal="center" vertical="center"/>
    </xf>
    <xf numFmtId="0" fontId="8" fillId="0" borderId="0" xfId="0" applyFont="1" applyFill="1">
      <alignment vertical="center"/>
    </xf>
    <xf numFmtId="0" fontId="5" fillId="0" borderId="8" xfId="0" applyFont="1" applyFill="1" applyBorder="1" applyAlignment="1">
      <alignment horizontal="center" vertical="center"/>
    </xf>
    <xf numFmtId="0" fontId="1" fillId="0" borderId="1" xfId="0" applyFont="1" applyFill="1" applyBorder="1" applyAlignment="1">
      <alignment vertical="center" wrapText="1"/>
    </xf>
    <xf numFmtId="0" fontId="1" fillId="0" borderId="2"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5" fillId="0" borderId="1" xfId="0" applyFont="1" applyFill="1" applyBorder="1" applyAlignment="1">
      <alignment vertical="center"/>
    </xf>
    <xf numFmtId="0" fontId="1"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20" fillId="0" borderId="1" xfId="0" applyFont="1" applyFill="1" applyBorder="1" applyAlignment="1">
      <alignment vertical="center"/>
    </xf>
    <xf numFmtId="0" fontId="1" fillId="0" borderId="1" xfId="0" applyFont="1" applyFill="1" applyBorder="1" applyAlignment="1">
      <alignment horizontal="left" vertical="center"/>
    </xf>
    <xf numFmtId="7" fontId="1" fillId="0" borderId="1" xfId="0" applyNumberFormat="1" applyFont="1" applyFill="1" applyBorder="1" applyAlignment="1">
      <alignment horizontal="center" vertical="center"/>
    </xf>
    <xf numFmtId="0" fontId="9" fillId="0" borderId="1" xfId="0" applyFont="1" applyFill="1" applyBorder="1" applyAlignment="1">
      <alignment horizontal="center" vertical="center"/>
    </xf>
    <xf numFmtId="7" fontId="10" fillId="0" borderId="1" xfId="0" applyNumberFormat="1" applyFont="1" applyFill="1" applyBorder="1" applyAlignment="1">
      <alignment horizontal="center" vertical="center"/>
    </xf>
    <xf numFmtId="176" fontId="10" fillId="0" borderId="1" xfId="0" applyNumberFormat="1" applyFont="1" applyFill="1" applyBorder="1" applyAlignment="1">
      <alignment horizontal="center" vertical="center" wrapText="1"/>
    </xf>
    <xf numFmtId="7" fontId="3" fillId="0" borderId="2" xfId="0" applyNumberFormat="1" applyFont="1" applyFill="1" applyBorder="1" applyAlignment="1">
      <alignment horizontal="center" vertical="center"/>
    </xf>
    <xf numFmtId="7" fontId="3" fillId="0" borderId="8" xfId="0" applyNumberFormat="1" applyFont="1" applyFill="1" applyBorder="1" applyAlignment="1">
      <alignment horizontal="center" vertical="center"/>
    </xf>
    <xf numFmtId="0" fontId="12" fillId="0" borderId="1" xfId="0" applyFont="1" applyFill="1" applyBorder="1" applyAlignment="1">
      <alignment horizontal="left" vertical="center"/>
    </xf>
    <xf numFmtId="0" fontId="12" fillId="0" borderId="1" xfId="0" applyFont="1" applyFill="1" applyBorder="1" applyAlignment="1">
      <alignment horizontal="center" vertical="center"/>
    </xf>
    <xf numFmtId="0" fontId="12" fillId="0" borderId="1" xfId="0" applyFont="1" applyFill="1" applyBorder="1" applyAlignment="1">
      <alignment horizontal="right" vertical="center"/>
    </xf>
    <xf numFmtId="0" fontId="12" fillId="0" borderId="1" xfId="0" applyFont="1" applyFill="1" applyBorder="1" applyAlignment="1">
      <alignment horizontal="center" vertical="center" wrapText="1"/>
    </xf>
    <xf numFmtId="7" fontId="13" fillId="0" borderId="1" xfId="0" applyNumberFormat="1" applyFont="1" applyFill="1" applyBorder="1" applyAlignment="1">
      <alignment horizontal="center" vertical="center"/>
    </xf>
    <xf numFmtId="0" fontId="3" fillId="0" borderId="1" xfId="0" applyFont="1" applyFill="1" applyBorder="1" applyAlignment="1">
      <alignment horizontal="center" vertical="center"/>
    </xf>
    <xf numFmtId="7" fontId="12" fillId="0" borderId="1" xfId="0" applyNumberFormat="1"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M135"/>
  <sheetViews>
    <sheetView tabSelected="1" workbookViewId="0">
      <pane ySplit="2" topLeftCell="A23" activePane="bottomLeft" state="frozen"/>
      <selection/>
      <selection pane="bottomLeft" activeCell="B23" sqref="B23:B48"/>
    </sheetView>
  </sheetViews>
  <sheetFormatPr defaultColWidth="9" defaultRowHeight="14.1"/>
  <cols>
    <col min="1" max="1" width="8.33333333333333" style="2" customWidth="1"/>
    <col min="2" max="2" width="22.7837837837838" style="3" customWidth="1"/>
    <col min="3" max="3" width="8.10810810810811" style="2" customWidth="1"/>
    <col min="4" max="4" width="23.2612612612613" style="1" customWidth="1"/>
    <col min="5" max="5" width="14.6756756756757" style="2" customWidth="1"/>
    <col min="6" max="6" width="6.45945945945946" style="2" customWidth="1"/>
    <col min="7" max="7" width="13.4414414414414" style="2" customWidth="1"/>
    <col min="8" max="8" width="8.5045045045045" style="4" customWidth="1"/>
    <col min="9" max="9" width="14.6756756756757" style="2" customWidth="1"/>
    <col min="10" max="10" width="16.6666666666667" style="2" customWidth="1"/>
    <col min="11" max="11" width="74.7567567567568" style="5" customWidth="1"/>
    <col min="12" max="12" width="19.8828828828829" style="80" customWidth="1"/>
    <col min="13" max="13" width="57.5045045045045" style="1" customWidth="1"/>
    <col min="14" max="16384" width="9" style="1"/>
  </cols>
  <sheetData>
    <row r="1" spans="1:13">
      <c r="A1" s="81" t="s">
        <v>0</v>
      </c>
      <c r="B1" s="81" t="s">
        <v>1</v>
      </c>
      <c r="C1" s="81" t="s">
        <v>2</v>
      </c>
      <c r="D1" s="81" t="s">
        <v>3</v>
      </c>
      <c r="E1" s="81" t="s">
        <v>4</v>
      </c>
      <c r="F1" s="81" t="s">
        <v>5</v>
      </c>
      <c r="G1" s="81" t="s">
        <v>6</v>
      </c>
      <c r="H1" s="82" t="s">
        <v>7</v>
      </c>
      <c r="I1" s="81" t="s">
        <v>8</v>
      </c>
      <c r="J1" s="81" t="s">
        <v>9</v>
      </c>
      <c r="K1" s="82" t="s">
        <v>10</v>
      </c>
      <c r="L1" s="83" t="s">
        <v>11</v>
      </c>
    </row>
    <row r="2" spans="1:13">
      <c r="A2" s="81"/>
      <c r="B2" s="81"/>
      <c r="C2" s="81"/>
      <c r="D2" s="81"/>
      <c r="E2" s="81"/>
      <c r="F2" s="81"/>
      <c r="G2" s="81"/>
      <c r="H2" s="82"/>
      <c r="I2" s="81"/>
      <c r="J2" s="81"/>
      <c r="K2" s="82"/>
      <c r="L2" s="83"/>
    </row>
    <row r="3" spans="1:13">
      <c r="A3" s="84">
        <f>ROW()-2</f>
        <v>1</v>
      </c>
      <c r="B3" s="85" t="s">
        <v>12</v>
      </c>
      <c r="C3" s="86" t="s">
        <v>2</v>
      </c>
      <c r="D3" s="87" t="s">
        <v>13</v>
      </c>
      <c r="E3" s="88" t="s">
        <v>14</v>
      </c>
      <c r="F3" s="89" t="s">
        <v>15</v>
      </c>
      <c r="G3" s="90">
        <v>6000</v>
      </c>
      <c r="H3" s="91">
        <v>1</v>
      </c>
      <c r="I3" s="90">
        <f>G3*H3</f>
        <v>6000</v>
      </c>
      <c r="J3" s="90">
        <f>I3*5</f>
        <v>30000</v>
      </c>
      <c r="K3" s="92" t="s">
        <v>16</v>
      </c>
      <c r="L3" s="93"/>
    </row>
    <row r="4" spans="1:13">
      <c r="A4" s="84">
        <f t="shared" ref="A4:A13" si="0">ROW()-2</f>
        <v>2</v>
      </c>
      <c r="B4" s="94"/>
      <c r="C4" s="86"/>
      <c r="D4" s="87" t="s">
        <v>17</v>
      </c>
      <c r="E4" s="88" t="s">
        <v>14</v>
      </c>
      <c r="F4" s="89" t="s">
        <v>15</v>
      </c>
      <c r="G4" s="95"/>
      <c r="H4" s="96"/>
      <c r="I4" s="95"/>
      <c r="J4" s="90"/>
      <c r="K4" s="92" t="s">
        <v>18</v>
      </c>
      <c r="L4" s="93"/>
    </row>
    <row r="5" ht="24.85" spans="1:13">
      <c r="A5" s="84">
        <f t="shared" si="0"/>
        <v>3</v>
      </c>
      <c r="B5" s="94"/>
      <c r="C5" s="86"/>
      <c r="D5" s="87" t="s">
        <v>19</v>
      </c>
      <c r="E5" s="88" t="s">
        <v>14</v>
      </c>
      <c r="F5" s="89" t="s">
        <v>15</v>
      </c>
      <c r="G5" s="95"/>
      <c r="H5" s="96"/>
      <c r="I5" s="95"/>
      <c r="J5" s="90"/>
      <c r="K5" s="92" t="s">
        <v>20</v>
      </c>
      <c r="L5" s="93"/>
    </row>
    <row r="6" spans="1:13">
      <c r="A6" s="84">
        <f t="shared" si="0"/>
        <v>4</v>
      </c>
      <c r="B6" s="94"/>
      <c r="C6" s="86"/>
      <c r="D6" s="87" t="s">
        <v>21</v>
      </c>
      <c r="E6" s="88" t="s">
        <v>14</v>
      </c>
      <c r="F6" s="89" t="s">
        <v>15</v>
      </c>
      <c r="G6" s="95"/>
      <c r="H6" s="96"/>
      <c r="I6" s="95"/>
      <c r="J6" s="90"/>
      <c r="K6" s="92" t="s">
        <v>22</v>
      </c>
      <c r="L6" s="93"/>
    </row>
    <row r="7" ht="24.85" spans="1:13">
      <c r="A7" s="84">
        <f t="shared" si="0"/>
        <v>5</v>
      </c>
      <c r="B7" s="94"/>
      <c r="C7" s="97" t="s">
        <v>2</v>
      </c>
      <c r="D7" s="87" t="s">
        <v>23</v>
      </c>
      <c r="E7" s="88" t="s">
        <v>14</v>
      </c>
      <c r="F7" s="89" t="s">
        <v>15</v>
      </c>
      <c r="G7" s="90">
        <v>2800</v>
      </c>
      <c r="H7" s="91">
        <v>1</v>
      </c>
      <c r="I7" s="90">
        <f>G7*H7</f>
        <v>2800</v>
      </c>
      <c r="J7" s="90"/>
      <c r="K7" s="92" t="s">
        <v>24</v>
      </c>
      <c r="L7" s="93"/>
    </row>
    <row r="8" ht="24.85" spans="1:13">
      <c r="A8" s="84">
        <f t="shared" si="0"/>
        <v>6</v>
      </c>
      <c r="B8" s="94"/>
      <c r="C8" s="97"/>
      <c r="D8" s="87" t="s">
        <v>25</v>
      </c>
      <c r="E8" s="88" t="s">
        <v>14</v>
      </c>
      <c r="F8" s="89" t="s">
        <v>15</v>
      </c>
      <c r="G8" s="90"/>
      <c r="H8" s="91"/>
      <c r="I8" s="90"/>
      <c r="J8" s="90"/>
      <c r="K8" s="92" t="s">
        <v>26</v>
      </c>
      <c r="L8" s="93"/>
    </row>
    <row r="9" spans="1:13">
      <c r="A9" s="84">
        <f t="shared" si="0"/>
        <v>7</v>
      </c>
      <c r="B9" s="98"/>
      <c r="C9" s="99" t="s">
        <v>27</v>
      </c>
      <c r="D9" s="100" t="s">
        <v>28</v>
      </c>
      <c r="E9" s="88" t="s">
        <v>14</v>
      </c>
      <c r="F9" s="89"/>
      <c r="G9" s="101">
        <v>12000</v>
      </c>
      <c r="H9" s="102">
        <v>1</v>
      </c>
      <c r="I9" s="101">
        <f>G9*H9</f>
        <v>12000</v>
      </c>
      <c r="J9" s="90">
        <v>48000</v>
      </c>
      <c r="K9" s="103" t="s">
        <v>29</v>
      </c>
      <c r="L9" s="93"/>
    </row>
    <row r="10" ht="37.3" spans="1:13">
      <c r="A10" s="84">
        <f t="shared" si="0"/>
        <v>8</v>
      </c>
      <c r="B10" s="87" t="s">
        <v>30</v>
      </c>
      <c r="C10" s="97" t="s">
        <v>2</v>
      </c>
      <c r="D10" s="87" t="s">
        <v>31</v>
      </c>
      <c r="E10" s="88" t="s">
        <v>14</v>
      </c>
      <c r="F10" s="89" t="s">
        <v>15</v>
      </c>
      <c r="G10" s="90">
        <v>2800</v>
      </c>
      <c r="H10" s="91">
        <v>1</v>
      </c>
      <c r="I10" s="90">
        <f>G10*H10</f>
        <v>2800</v>
      </c>
      <c r="J10" s="90">
        <f>I10*12</f>
        <v>33600</v>
      </c>
      <c r="K10" s="92" t="s">
        <v>32</v>
      </c>
      <c r="L10" s="93" t="s">
        <v>33</v>
      </c>
      <c r="M10" s="27"/>
    </row>
    <row r="11" ht="37.3" spans="1:13">
      <c r="A11" s="84">
        <f t="shared" si="0"/>
        <v>9</v>
      </c>
      <c r="B11" s="104"/>
      <c r="C11" s="99" t="s">
        <v>27</v>
      </c>
      <c r="D11" s="87" t="s">
        <v>34</v>
      </c>
      <c r="E11" s="88" t="s">
        <v>14</v>
      </c>
      <c r="F11" s="89"/>
      <c r="G11" s="90">
        <v>2800</v>
      </c>
      <c r="H11" s="91">
        <v>1</v>
      </c>
      <c r="I11" s="90">
        <f>G11*H11</f>
        <v>2800</v>
      </c>
      <c r="J11" s="90">
        <f>I11*12</f>
        <v>33600</v>
      </c>
      <c r="K11" s="92" t="s">
        <v>32</v>
      </c>
      <c r="L11" s="105" t="s">
        <v>33</v>
      </c>
      <c r="M11" s="29"/>
    </row>
    <row r="12" ht="24.85" spans="1:13">
      <c r="A12" s="84">
        <f t="shared" si="0"/>
        <v>10</v>
      </c>
      <c r="B12" s="104"/>
      <c r="C12" s="97" t="s">
        <v>2</v>
      </c>
      <c r="D12" s="87" t="s">
        <v>35</v>
      </c>
      <c r="E12" s="88" t="s">
        <v>14</v>
      </c>
      <c r="F12" s="89" t="s">
        <v>15</v>
      </c>
      <c r="G12" s="90">
        <v>2800</v>
      </c>
      <c r="H12" s="91">
        <v>1</v>
      </c>
      <c r="I12" s="90">
        <f>G12*H12</f>
        <v>2800</v>
      </c>
      <c r="J12" s="90">
        <f>I12*12</f>
        <v>33600</v>
      </c>
      <c r="K12" s="92" t="s">
        <v>36</v>
      </c>
      <c r="L12" s="106" t="s">
        <v>33</v>
      </c>
      <c r="M12" s="29"/>
    </row>
    <row r="13" spans="1:13">
      <c r="A13" s="84">
        <f t="shared" si="0"/>
        <v>11</v>
      </c>
      <c r="B13" s="104"/>
      <c r="C13" s="97"/>
      <c r="D13" s="87" t="s">
        <v>37</v>
      </c>
      <c r="E13" s="88" t="s">
        <v>14</v>
      </c>
      <c r="F13" s="89" t="s">
        <v>15</v>
      </c>
      <c r="G13" s="90"/>
      <c r="H13" s="91"/>
      <c r="I13" s="90"/>
      <c r="J13" s="90"/>
      <c r="K13" s="92" t="s">
        <v>38</v>
      </c>
      <c r="L13" s="93"/>
      <c r="M13" s="29"/>
    </row>
    <row r="14" ht="24.85" spans="1:13">
      <c r="A14" s="84">
        <f t="shared" ref="A14:A23" si="1">ROW()-2</f>
        <v>12</v>
      </c>
      <c r="B14" s="104"/>
      <c r="C14" s="97"/>
      <c r="D14" s="87" t="s">
        <v>39</v>
      </c>
      <c r="E14" s="88" t="s">
        <v>14</v>
      </c>
      <c r="F14" s="89" t="s">
        <v>15</v>
      </c>
      <c r="G14" s="90"/>
      <c r="H14" s="91"/>
      <c r="I14" s="90"/>
      <c r="J14" s="90"/>
      <c r="K14" s="92" t="s">
        <v>40</v>
      </c>
      <c r="L14" s="93"/>
      <c r="M14" s="29"/>
    </row>
    <row r="15" spans="1:13">
      <c r="A15" s="84">
        <f t="shared" si="1"/>
        <v>13</v>
      </c>
      <c r="B15" s="104"/>
      <c r="C15" s="97"/>
      <c r="D15" s="87" t="s">
        <v>41</v>
      </c>
      <c r="E15" s="88" t="s">
        <v>14</v>
      </c>
      <c r="F15" s="89" t="s">
        <v>15</v>
      </c>
      <c r="G15" s="90"/>
      <c r="H15" s="91"/>
      <c r="I15" s="90"/>
      <c r="J15" s="90"/>
      <c r="K15" s="92" t="s">
        <v>42</v>
      </c>
      <c r="L15" s="93"/>
      <c r="M15" s="29"/>
    </row>
    <row r="16" s="1" customFormat="1" spans="1:13">
      <c r="A16" s="84">
        <f t="shared" si="1"/>
        <v>14</v>
      </c>
      <c r="B16" s="104"/>
      <c r="C16" s="97"/>
      <c r="D16" s="87" t="s">
        <v>43</v>
      </c>
      <c r="E16" s="88" t="s">
        <v>14</v>
      </c>
      <c r="F16" s="89" t="s">
        <v>15</v>
      </c>
      <c r="G16" s="90"/>
      <c r="H16" s="91"/>
      <c r="I16" s="90"/>
      <c r="J16" s="90"/>
      <c r="K16" s="92" t="s">
        <v>44</v>
      </c>
      <c r="L16" s="93"/>
      <c r="M16" s="29"/>
    </row>
    <row r="17" ht="24.85" spans="1:13">
      <c r="A17" s="84">
        <f t="shared" si="1"/>
        <v>15</v>
      </c>
      <c r="B17" s="104"/>
      <c r="C17" s="99" t="s">
        <v>27</v>
      </c>
      <c r="D17" s="87" t="s">
        <v>45</v>
      </c>
      <c r="E17" s="88" t="s">
        <v>14</v>
      </c>
      <c r="F17" s="89"/>
      <c r="G17" s="90">
        <v>1200</v>
      </c>
      <c r="H17" s="91">
        <v>1</v>
      </c>
      <c r="I17" s="107">
        <f>G17*H17</f>
        <v>1200</v>
      </c>
      <c r="J17" s="107">
        <f>I17*12</f>
        <v>14400</v>
      </c>
      <c r="K17" s="92" t="s">
        <v>46</v>
      </c>
      <c r="L17" s="106" t="s">
        <v>47</v>
      </c>
      <c r="M17" s="29"/>
    </row>
    <row r="18" spans="1:13">
      <c r="A18" s="84">
        <f t="shared" si="1"/>
        <v>16</v>
      </c>
      <c r="B18" s="108" t="s">
        <v>48</v>
      </c>
      <c r="C18" s="109" t="s">
        <v>2</v>
      </c>
      <c r="D18" s="110" t="s">
        <v>49</v>
      </c>
      <c r="E18" s="88" t="s">
        <v>14</v>
      </c>
      <c r="F18" s="89" t="s">
        <v>15</v>
      </c>
      <c r="G18" s="107">
        <v>1200</v>
      </c>
      <c r="H18" s="91">
        <v>1</v>
      </c>
      <c r="I18" s="107">
        <f>G18*H18</f>
        <v>1200</v>
      </c>
      <c r="J18" s="107">
        <f>I18*12</f>
        <v>14400</v>
      </c>
      <c r="K18" s="92" t="s">
        <v>50</v>
      </c>
      <c r="L18" s="93"/>
    </row>
    <row r="19" spans="1:13">
      <c r="A19" s="84">
        <f t="shared" si="1"/>
        <v>17</v>
      </c>
      <c r="B19" s="108"/>
      <c r="C19" s="109" t="s">
        <v>2</v>
      </c>
      <c r="D19" s="110" t="s">
        <v>51</v>
      </c>
      <c r="E19" s="88" t="s">
        <v>14</v>
      </c>
      <c r="F19" s="89" t="s">
        <v>15</v>
      </c>
      <c r="G19" s="107">
        <v>2800</v>
      </c>
      <c r="H19" s="91">
        <v>1</v>
      </c>
      <c r="I19" s="107">
        <f>G19*H19</f>
        <v>2800</v>
      </c>
      <c r="J19" s="107">
        <f>I19*12</f>
        <v>33600</v>
      </c>
      <c r="K19" s="92" t="s">
        <v>52</v>
      </c>
      <c r="L19" s="93"/>
    </row>
    <row r="20" spans="1:13">
      <c r="A20" s="84">
        <f t="shared" si="1"/>
        <v>18</v>
      </c>
      <c r="B20" s="108"/>
      <c r="C20" s="109"/>
      <c r="D20" s="110" t="s">
        <v>53</v>
      </c>
      <c r="E20" s="88" t="s">
        <v>14</v>
      </c>
      <c r="F20" s="89" t="s">
        <v>15</v>
      </c>
      <c r="G20" s="107"/>
      <c r="H20" s="91"/>
      <c r="I20" s="107"/>
      <c r="J20" s="107"/>
      <c r="K20" s="92" t="s">
        <v>54</v>
      </c>
      <c r="L20" s="93"/>
    </row>
    <row r="21" s="1" customFormat="1" spans="1:13">
      <c r="A21" s="84">
        <f t="shared" si="1"/>
        <v>19</v>
      </c>
      <c r="B21" s="108"/>
      <c r="C21" s="111" t="s">
        <v>27</v>
      </c>
      <c r="D21" s="110" t="s">
        <v>55</v>
      </c>
      <c r="E21" s="88" t="s">
        <v>14</v>
      </c>
      <c r="F21" s="89"/>
      <c r="G21" s="107"/>
      <c r="H21" s="91"/>
      <c r="I21" s="107"/>
      <c r="J21" s="107"/>
      <c r="K21" s="92" t="s">
        <v>56</v>
      </c>
      <c r="L21" s="93" t="s">
        <v>57</v>
      </c>
    </row>
    <row r="22" spans="1:13">
      <c r="A22" s="84">
        <f t="shared" si="1"/>
        <v>20</v>
      </c>
      <c r="B22" s="108"/>
      <c r="C22" s="111" t="s">
        <v>27</v>
      </c>
      <c r="D22" s="110" t="s">
        <v>58</v>
      </c>
      <c r="E22" s="88" t="s">
        <v>14</v>
      </c>
      <c r="F22" s="89"/>
      <c r="G22" s="107"/>
      <c r="H22" s="91"/>
      <c r="I22" s="107"/>
      <c r="J22" s="107"/>
      <c r="K22" s="92" t="s">
        <v>59</v>
      </c>
      <c r="L22" s="93"/>
    </row>
    <row r="23" s="1" customFormat="1" spans="1:13">
      <c r="A23" s="84">
        <f t="shared" si="1"/>
        <v>21</v>
      </c>
      <c r="B23" s="108" t="s">
        <v>60</v>
      </c>
      <c r="C23" s="111" t="s">
        <v>27</v>
      </c>
      <c r="D23" s="110" t="s">
        <v>61</v>
      </c>
      <c r="E23" s="88" t="s">
        <v>14</v>
      </c>
      <c r="F23" s="89"/>
      <c r="G23" s="107">
        <v>1200</v>
      </c>
      <c r="H23" s="91">
        <v>1</v>
      </c>
      <c r="I23" s="107">
        <f>G23*H23</f>
        <v>1200</v>
      </c>
      <c r="J23" s="107">
        <f>I23*12</f>
        <v>14400</v>
      </c>
      <c r="K23" s="92" t="s">
        <v>62</v>
      </c>
      <c r="L23" s="93" t="s">
        <v>47</v>
      </c>
    </row>
    <row r="24" customFormat="1" spans="1:13">
      <c r="A24" s="84">
        <f t="shared" ref="A24:A33" si="2">ROW()-2</f>
        <v>22</v>
      </c>
      <c r="B24" s="108"/>
      <c r="C24" s="111" t="s">
        <v>27</v>
      </c>
      <c r="D24" s="112" t="s">
        <v>63</v>
      </c>
      <c r="E24" s="88" t="s">
        <v>14</v>
      </c>
      <c r="F24" s="89"/>
      <c r="G24" s="107">
        <v>1200</v>
      </c>
      <c r="H24" s="91">
        <v>1</v>
      </c>
      <c r="I24" s="107">
        <f>G24*H24</f>
        <v>1200</v>
      </c>
      <c r="J24" s="107">
        <f>I24*12</f>
        <v>14400</v>
      </c>
      <c r="K24" s="92" t="s">
        <v>64</v>
      </c>
      <c r="L24" s="93" t="s">
        <v>57</v>
      </c>
    </row>
    <row r="25" spans="1:13">
      <c r="A25" s="84">
        <f t="shared" si="2"/>
        <v>23</v>
      </c>
      <c r="B25" s="108"/>
      <c r="C25" s="113" t="s">
        <v>2</v>
      </c>
      <c r="D25" s="112" t="s">
        <v>65</v>
      </c>
      <c r="E25" s="88" t="s">
        <v>14</v>
      </c>
      <c r="F25" s="89" t="s">
        <v>15</v>
      </c>
      <c r="G25" s="107">
        <v>4200</v>
      </c>
      <c r="H25" s="91">
        <v>1</v>
      </c>
      <c r="I25" s="107">
        <f>G25*H25</f>
        <v>4200</v>
      </c>
      <c r="J25" s="107">
        <f>I25*12</f>
        <v>50400</v>
      </c>
      <c r="K25" s="92" t="s">
        <v>66</v>
      </c>
      <c r="L25" s="93"/>
    </row>
    <row r="26" spans="1:13">
      <c r="A26" s="84">
        <f t="shared" si="2"/>
        <v>24</v>
      </c>
      <c r="B26" s="108"/>
      <c r="C26" s="113" t="s">
        <v>2</v>
      </c>
      <c r="D26" s="110" t="s">
        <v>67</v>
      </c>
      <c r="E26" s="88" t="s">
        <v>14</v>
      </c>
      <c r="F26" s="89" t="s">
        <v>15</v>
      </c>
      <c r="G26" s="107">
        <v>3600</v>
      </c>
      <c r="H26" s="91">
        <v>1</v>
      </c>
      <c r="I26" s="107">
        <f t="shared" ref="I26:I34" si="3">G26*H26</f>
        <v>3600</v>
      </c>
      <c r="J26" s="107">
        <f t="shared" ref="J26:J34" si="4">I26*12</f>
        <v>43200</v>
      </c>
      <c r="K26" s="92" t="s">
        <v>68</v>
      </c>
      <c r="L26" s="93"/>
    </row>
    <row r="27" spans="1:13">
      <c r="A27" s="84">
        <f t="shared" si="2"/>
        <v>25</v>
      </c>
      <c r="B27" s="108"/>
      <c r="C27" s="111" t="s">
        <v>27</v>
      </c>
      <c r="D27" s="110" t="s">
        <v>69</v>
      </c>
      <c r="E27" s="88" t="s">
        <v>14</v>
      </c>
      <c r="F27" s="89"/>
      <c r="G27" s="107">
        <v>3600</v>
      </c>
      <c r="H27" s="91">
        <v>1</v>
      </c>
      <c r="I27" s="107">
        <f t="shared" si="3"/>
        <v>3600</v>
      </c>
      <c r="J27" s="107">
        <f t="shared" si="4"/>
        <v>43200</v>
      </c>
      <c r="K27" s="92" t="s">
        <v>70</v>
      </c>
      <c r="L27" s="93"/>
    </row>
    <row r="28" spans="1:13">
      <c r="A28" s="84">
        <f t="shared" si="2"/>
        <v>26</v>
      </c>
      <c r="B28" s="108"/>
      <c r="C28" s="111" t="s">
        <v>27</v>
      </c>
      <c r="D28" s="110" t="s">
        <v>71</v>
      </c>
      <c r="E28" s="88" t="s">
        <v>14</v>
      </c>
      <c r="F28" s="89"/>
      <c r="G28" s="107">
        <v>2800</v>
      </c>
      <c r="H28" s="91">
        <v>1</v>
      </c>
      <c r="I28" s="107">
        <f t="shared" si="3"/>
        <v>2800</v>
      </c>
      <c r="J28" s="107">
        <f t="shared" si="4"/>
        <v>33600</v>
      </c>
      <c r="K28" s="92" t="s">
        <v>72</v>
      </c>
      <c r="L28" s="93"/>
    </row>
    <row r="29" spans="1:13">
      <c r="A29" s="84">
        <f t="shared" si="2"/>
        <v>27</v>
      </c>
      <c r="B29" s="108"/>
      <c r="C29" s="111" t="s">
        <v>27</v>
      </c>
      <c r="D29" s="110" t="s">
        <v>73</v>
      </c>
      <c r="E29" s="88" t="s">
        <v>14</v>
      </c>
      <c r="F29" s="89"/>
      <c r="G29" s="107">
        <v>2000</v>
      </c>
      <c r="H29" s="91">
        <v>1</v>
      </c>
      <c r="I29" s="107">
        <f t="shared" si="3"/>
        <v>2000</v>
      </c>
      <c r="J29" s="107">
        <f t="shared" si="4"/>
        <v>24000</v>
      </c>
      <c r="K29" s="92" t="s">
        <v>74</v>
      </c>
      <c r="L29" s="93"/>
    </row>
    <row r="30" spans="1:13">
      <c r="A30" s="84">
        <f t="shared" si="2"/>
        <v>28</v>
      </c>
      <c r="B30" s="108"/>
      <c r="C30" s="111" t="s">
        <v>27</v>
      </c>
      <c r="D30" s="110" t="s">
        <v>75</v>
      </c>
      <c r="E30" s="88" t="s">
        <v>14</v>
      </c>
      <c r="F30" s="89"/>
      <c r="G30" s="107">
        <v>2000</v>
      </c>
      <c r="H30" s="91">
        <v>1</v>
      </c>
      <c r="I30" s="107">
        <f t="shared" si="3"/>
        <v>2000</v>
      </c>
      <c r="J30" s="107">
        <f t="shared" si="4"/>
        <v>24000</v>
      </c>
      <c r="K30" s="92" t="s">
        <v>70</v>
      </c>
      <c r="L30" s="93"/>
    </row>
    <row r="31" s="1" customFormat="1" spans="1:13">
      <c r="A31" s="84">
        <f t="shared" si="2"/>
        <v>29</v>
      </c>
      <c r="B31" s="108"/>
      <c r="C31" s="111" t="s">
        <v>27</v>
      </c>
      <c r="D31" s="110" t="s">
        <v>76</v>
      </c>
      <c r="E31" s="88" t="s">
        <v>14</v>
      </c>
      <c r="F31" s="89"/>
      <c r="G31" s="107">
        <v>2000</v>
      </c>
      <c r="H31" s="91">
        <v>1</v>
      </c>
      <c r="I31" s="107">
        <f t="shared" si="3"/>
        <v>2000</v>
      </c>
      <c r="J31" s="107">
        <f t="shared" si="4"/>
        <v>24000</v>
      </c>
      <c r="K31" s="92" t="s">
        <v>77</v>
      </c>
      <c r="L31" s="93" t="s">
        <v>57</v>
      </c>
    </row>
    <row r="32" s="1" customFormat="1" spans="1:13">
      <c r="A32" s="84">
        <f t="shared" si="2"/>
        <v>30</v>
      </c>
      <c r="B32" s="108"/>
      <c r="C32" s="111" t="s">
        <v>27</v>
      </c>
      <c r="D32" s="110" t="s">
        <v>78</v>
      </c>
      <c r="E32" s="88" t="s">
        <v>14</v>
      </c>
      <c r="F32" s="89"/>
      <c r="G32" s="107">
        <v>1200</v>
      </c>
      <c r="H32" s="91">
        <v>1</v>
      </c>
      <c r="I32" s="107">
        <f t="shared" si="3"/>
        <v>1200</v>
      </c>
      <c r="J32" s="107">
        <f t="shared" si="4"/>
        <v>14400</v>
      </c>
      <c r="K32" s="92" t="s">
        <v>79</v>
      </c>
      <c r="L32" s="106" t="s">
        <v>80</v>
      </c>
    </row>
    <row r="33" spans="1:13">
      <c r="A33" s="84">
        <f t="shared" si="2"/>
        <v>31</v>
      </c>
      <c r="B33" s="108"/>
      <c r="C33" s="111" t="s">
        <v>27</v>
      </c>
      <c r="D33" s="112" t="s">
        <v>81</v>
      </c>
      <c r="E33" s="88" t="s">
        <v>14</v>
      </c>
      <c r="F33" s="89"/>
      <c r="G33" s="107">
        <v>3800</v>
      </c>
      <c r="H33" s="91">
        <v>1</v>
      </c>
      <c r="I33" s="107">
        <f t="shared" si="3"/>
        <v>3800</v>
      </c>
      <c r="J33" s="107">
        <f t="shared" si="4"/>
        <v>45600</v>
      </c>
      <c r="K33" s="92" t="s">
        <v>82</v>
      </c>
      <c r="L33" s="106" t="s">
        <v>80</v>
      </c>
    </row>
    <row r="34" spans="1:13">
      <c r="A34" s="84">
        <f t="shared" ref="A34:A43" si="5">ROW()-2</f>
        <v>32</v>
      </c>
      <c r="B34" s="108"/>
      <c r="C34" s="111" t="s">
        <v>27</v>
      </c>
      <c r="D34" s="112" t="s">
        <v>83</v>
      </c>
      <c r="E34" s="88" t="s">
        <v>14</v>
      </c>
      <c r="F34" s="89"/>
      <c r="G34" s="107">
        <v>1200</v>
      </c>
      <c r="H34" s="91">
        <v>1</v>
      </c>
      <c r="I34" s="107">
        <f t="shared" si="3"/>
        <v>1200</v>
      </c>
      <c r="J34" s="107">
        <f t="shared" si="4"/>
        <v>14400</v>
      </c>
      <c r="K34" s="92" t="s">
        <v>84</v>
      </c>
      <c r="L34" s="93" t="s">
        <v>57</v>
      </c>
    </row>
    <row r="35" ht="24.85" spans="1:13">
      <c r="A35" s="84">
        <f t="shared" si="5"/>
        <v>33</v>
      </c>
      <c r="B35" s="108"/>
      <c r="C35" s="109" t="s">
        <v>2</v>
      </c>
      <c r="D35" s="112" t="s">
        <v>85</v>
      </c>
      <c r="E35" s="88" t="s">
        <v>14</v>
      </c>
      <c r="F35" s="89" t="s">
        <v>15</v>
      </c>
      <c r="G35" s="107">
        <v>1200</v>
      </c>
      <c r="H35" s="91">
        <v>1</v>
      </c>
      <c r="I35" s="107">
        <f t="shared" ref="I35:I49" si="6">G35*H35</f>
        <v>1200</v>
      </c>
      <c r="J35" s="107">
        <f t="shared" ref="J35:J40" si="7">I35*12</f>
        <v>14400</v>
      </c>
      <c r="K35" s="92" t="s">
        <v>86</v>
      </c>
      <c r="L35" s="93"/>
    </row>
    <row r="36" spans="1:13">
      <c r="A36" s="84">
        <f t="shared" si="5"/>
        <v>34</v>
      </c>
      <c r="B36" s="108"/>
      <c r="C36" s="109" t="s">
        <v>2</v>
      </c>
      <c r="D36" s="110" t="s">
        <v>87</v>
      </c>
      <c r="E36" s="88" t="s">
        <v>14</v>
      </c>
      <c r="F36" s="89" t="s">
        <v>15</v>
      </c>
      <c r="G36" s="107">
        <v>1200</v>
      </c>
      <c r="H36" s="91">
        <v>1</v>
      </c>
      <c r="I36" s="107">
        <f t="shared" si="6"/>
        <v>1200</v>
      </c>
      <c r="J36" s="107">
        <f t="shared" si="7"/>
        <v>14400</v>
      </c>
      <c r="K36" s="92" t="s">
        <v>88</v>
      </c>
      <c r="L36" s="93"/>
    </row>
    <row r="37" spans="1:13">
      <c r="A37" s="84">
        <f t="shared" si="5"/>
        <v>35</v>
      </c>
      <c r="B37" s="108"/>
      <c r="C37" s="111" t="s">
        <v>27</v>
      </c>
      <c r="D37" s="110" t="s">
        <v>89</v>
      </c>
      <c r="E37" s="88" t="s">
        <v>14</v>
      </c>
      <c r="F37" s="89"/>
      <c r="G37" s="107">
        <v>1200</v>
      </c>
      <c r="H37" s="91">
        <v>1</v>
      </c>
      <c r="I37" s="107">
        <f t="shared" si="6"/>
        <v>1200</v>
      </c>
      <c r="J37" s="107">
        <f t="shared" si="7"/>
        <v>14400</v>
      </c>
      <c r="K37" s="92" t="s">
        <v>90</v>
      </c>
      <c r="L37" s="93"/>
    </row>
    <row r="38" spans="1:13">
      <c r="A38" s="84">
        <f t="shared" si="5"/>
        <v>36</v>
      </c>
      <c r="B38" s="108"/>
      <c r="C38" s="111" t="s">
        <v>27</v>
      </c>
      <c r="D38" s="110" t="s">
        <v>91</v>
      </c>
      <c r="E38" s="88" t="s">
        <v>14</v>
      </c>
      <c r="F38" s="89"/>
      <c r="G38" s="107">
        <v>1200</v>
      </c>
      <c r="H38" s="91">
        <v>1</v>
      </c>
      <c r="I38" s="107">
        <f t="shared" si="6"/>
        <v>1200</v>
      </c>
      <c r="J38" s="107">
        <f t="shared" si="7"/>
        <v>14400</v>
      </c>
      <c r="K38" s="92"/>
      <c r="L38" s="93"/>
    </row>
    <row r="39" spans="1:13">
      <c r="A39" s="84">
        <f t="shared" si="5"/>
        <v>37</v>
      </c>
      <c r="B39" s="108"/>
      <c r="C39" s="109" t="s">
        <v>2</v>
      </c>
      <c r="D39" s="112" t="s">
        <v>92</v>
      </c>
      <c r="E39" s="88" t="s">
        <v>14</v>
      </c>
      <c r="F39" s="89" t="s">
        <v>15</v>
      </c>
      <c r="G39" s="107">
        <v>1200</v>
      </c>
      <c r="H39" s="91">
        <v>1</v>
      </c>
      <c r="I39" s="107">
        <f t="shared" si="6"/>
        <v>1200</v>
      </c>
      <c r="J39" s="107">
        <f t="shared" si="7"/>
        <v>14400</v>
      </c>
      <c r="K39" s="92" t="s">
        <v>93</v>
      </c>
      <c r="L39" s="93"/>
    </row>
    <row r="40" ht="24.85" spans="1:13">
      <c r="A40" s="84">
        <f t="shared" si="5"/>
        <v>38</v>
      </c>
      <c r="B40" s="108"/>
      <c r="C40" s="109" t="s">
        <v>2</v>
      </c>
      <c r="D40" s="110" t="s">
        <v>94</v>
      </c>
      <c r="E40" s="88" t="s">
        <v>14</v>
      </c>
      <c r="F40" s="89" t="s">
        <v>15</v>
      </c>
      <c r="G40" s="107">
        <v>1200</v>
      </c>
      <c r="H40" s="91">
        <v>1</v>
      </c>
      <c r="I40" s="107">
        <f t="shared" si="6"/>
        <v>1200</v>
      </c>
      <c r="J40" s="107">
        <f t="shared" si="7"/>
        <v>14400</v>
      </c>
      <c r="K40" s="92" t="s">
        <v>95</v>
      </c>
      <c r="L40" s="93"/>
    </row>
    <row r="41" spans="1:13">
      <c r="A41" s="84">
        <f t="shared" si="5"/>
        <v>39</v>
      </c>
      <c r="B41" s="108"/>
      <c r="C41" s="109" t="s">
        <v>2</v>
      </c>
      <c r="D41" s="110" t="s">
        <v>96</v>
      </c>
      <c r="E41" s="88" t="s">
        <v>14</v>
      </c>
      <c r="F41" s="89" t="s">
        <v>15</v>
      </c>
      <c r="G41" s="107">
        <v>1200</v>
      </c>
      <c r="H41" s="91">
        <v>1</v>
      </c>
      <c r="I41" s="107">
        <f t="shared" si="6"/>
        <v>1200</v>
      </c>
      <c r="J41" s="107">
        <f t="shared" ref="J41:J46" si="8">I41*12</f>
        <v>14400</v>
      </c>
      <c r="K41" s="92" t="s">
        <v>97</v>
      </c>
      <c r="L41" s="93"/>
    </row>
    <row r="42" spans="1:13">
      <c r="A42" s="84">
        <f t="shared" si="5"/>
        <v>40</v>
      </c>
      <c r="B42" s="108"/>
      <c r="C42" s="109" t="s">
        <v>2</v>
      </c>
      <c r="D42" s="110" t="s">
        <v>98</v>
      </c>
      <c r="E42" s="88" t="s">
        <v>14</v>
      </c>
      <c r="F42" s="89" t="s">
        <v>15</v>
      </c>
      <c r="G42" s="107">
        <v>3800</v>
      </c>
      <c r="H42" s="91">
        <v>1</v>
      </c>
      <c r="I42" s="107">
        <f t="shared" si="6"/>
        <v>3800</v>
      </c>
      <c r="J42" s="107">
        <f t="shared" si="8"/>
        <v>45600</v>
      </c>
      <c r="K42" s="92" t="s">
        <v>99</v>
      </c>
      <c r="L42" s="93"/>
    </row>
    <row r="43" spans="1:13">
      <c r="A43" s="84">
        <f t="shared" si="5"/>
        <v>41</v>
      </c>
      <c r="B43" s="108"/>
      <c r="C43" s="114" t="s">
        <v>27</v>
      </c>
      <c r="D43" s="112" t="s">
        <v>100</v>
      </c>
      <c r="E43" s="88" t="s">
        <v>14</v>
      </c>
      <c r="F43" s="89"/>
      <c r="G43" s="107">
        <v>8000</v>
      </c>
      <c r="H43" s="91">
        <v>1</v>
      </c>
      <c r="I43" s="107">
        <f t="shared" si="6"/>
        <v>8000</v>
      </c>
      <c r="J43" s="107">
        <f t="shared" si="8"/>
        <v>96000</v>
      </c>
      <c r="K43" s="92" t="s">
        <v>101</v>
      </c>
      <c r="L43" s="106" t="s">
        <v>102</v>
      </c>
    </row>
    <row r="44" spans="1:13">
      <c r="A44" s="84">
        <f t="shared" ref="A44:A53" si="9">ROW()-2</f>
        <v>42</v>
      </c>
      <c r="B44" s="108"/>
      <c r="C44" s="115"/>
      <c r="D44" s="112" t="s">
        <v>103</v>
      </c>
      <c r="E44" s="88" t="s">
        <v>14</v>
      </c>
      <c r="F44" s="89"/>
      <c r="G44" s="107">
        <v>20000</v>
      </c>
      <c r="H44" s="91">
        <v>1</v>
      </c>
      <c r="I44" s="107">
        <f t="shared" si="6"/>
        <v>20000</v>
      </c>
      <c r="J44" s="107">
        <f t="shared" si="8"/>
        <v>240000</v>
      </c>
      <c r="K44" s="92" t="s">
        <v>104</v>
      </c>
      <c r="L44" s="106" t="s">
        <v>80</v>
      </c>
      <c r="M44" s="116"/>
    </row>
    <row r="45" spans="1:13">
      <c r="A45" s="84">
        <f t="shared" si="9"/>
        <v>43</v>
      </c>
      <c r="B45" s="108"/>
      <c r="C45" s="115"/>
      <c r="D45" s="112" t="s">
        <v>105</v>
      </c>
      <c r="E45" s="88" t="s">
        <v>14</v>
      </c>
      <c r="F45" s="89"/>
      <c r="G45" s="107">
        <v>25000</v>
      </c>
      <c r="H45" s="91">
        <v>1</v>
      </c>
      <c r="I45" s="107">
        <f t="shared" si="6"/>
        <v>25000</v>
      </c>
      <c r="J45" s="107">
        <f t="shared" si="8"/>
        <v>300000</v>
      </c>
      <c r="K45" s="92" t="s">
        <v>106</v>
      </c>
      <c r="L45" s="106" t="s">
        <v>102</v>
      </c>
    </row>
    <row r="46" ht="24.85" spans="1:13">
      <c r="A46" s="84">
        <f t="shared" si="9"/>
        <v>44</v>
      </c>
      <c r="B46" s="108"/>
      <c r="C46" s="117"/>
      <c r="D46" s="112" t="s">
        <v>107</v>
      </c>
      <c r="E46" s="88" t="s">
        <v>14</v>
      </c>
      <c r="F46" s="89"/>
      <c r="G46" s="107">
        <v>30000</v>
      </c>
      <c r="H46" s="91">
        <v>1</v>
      </c>
      <c r="I46" s="107">
        <f t="shared" si="6"/>
        <v>30000</v>
      </c>
      <c r="J46" s="107">
        <v>80000</v>
      </c>
      <c r="K46" s="92" t="s">
        <v>108</v>
      </c>
      <c r="L46" s="93"/>
    </row>
    <row r="47" spans="1:13">
      <c r="A47" s="84">
        <f t="shared" si="9"/>
        <v>45</v>
      </c>
      <c r="B47" s="108"/>
      <c r="C47" s="111" t="s">
        <v>27</v>
      </c>
      <c r="D47" s="112" t="s">
        <v>109</v>
      </c>
      <c r="E47" s="88" t="s">
        <v>14</v>
      </c>
      <c r="F47" s="89"/>
      <c r="G47" s="107">
        <v>1200</v>
      </c>
      <c r="H47" s="91">
        <v>1</v>
      </c>
      <c r="I47" s="107">
        <f t="shared" si="6"/>
        <v>1200</v>
      </c>
      <c r="J47" s="107">
        <f>I47*12</f>
        <v>14400</v>
      </c>
      <c r="K47" s="92" t="s">
        <v>110</v>
      </c>
      <c r="L47" s="93"/>
    </row>
    <row r="48" spans="1:13">
      <c r="A48" s="84">
        <f t="shared" si="9"/>
        <v>46</v>
      </c>
      <c r="B48" s="108"/>
      <c r="C48" s="111" t="s">
        <v>27</v>
      </c>
      <c r="D48" s="112" t="s">
        <v>111</v>
      </c>
      <c r="E48" s="88" t="s">
        <v>14</v>
      </c>
      <c r="F48" s="89"/>
      <c r="G48" s="107">
        <v>1200</v>
      </c>
      <c r="H48" s="91">
        <v>1</v>
      </c>
      <c r="I48" s="107">
        <f t="shared" si="6"/>
        <v>1200</v>
      </c>
      <c r="J48" s="107">
        <f>I48*12</f>
        <v>14400</v>
      </c>
      <c r="K48" s="92" t="s">
        <v>112</v>
      </c>
      <c r="L48" s="93"/>
    </row>
    <row r="49" spans="1:12">
      <c r="A49" s="84">
        <f t="shared" si="9"/>
        <v>47</v>
      </c>
      <c r="B49" s="87" t="s">
        <v>113</v>
      </c>
      <c r="C49" s="109" t="s">
        <v>2</v>
      </c>
      <c r="D49" s="110" t="s">
        <v>114</v>
      </c>
      <c r="E49" s="88" t="s">
        <v>14</v>
      </c>
      <c r="F49" s="89" t="s">
        <v>15</v>
      </c>
      <c r="G49" s="90">
        <v>3800</v>
      </c>
      <c r="H49" s="91">
        <v>1</v>
      </c>
      <c r="I49" s="90">
        <f t="shared" si="6"/>
        <v>3800</v>
      </c>
      <c r="J49" s="107">
        <f>I49*12</f>
        <v>45600</v>
      </c>
      <c r="K49" s="92" t="s">
        <v>115</v>
      </c>
      <c r="L49" s="93"/>
    </row>
    <row r="50" spans="1:12">
      <c r="A50" s="84">
        <f t="shared" si="9"/>
        <v>48</v>
      </c>
      <c r="B50" s="87"/>
      <c r="C50" s="109"/>
      <c r="D50" s="118" t="s">
        <v>116</v>
      </c>
      <c r="E50" s="88" t="s">
        <v>14</v>
      </c>
      <c r="F50" s="89" t="s">
        <v>15</v>
      </c>
      <c r="G50" s="95"/>
      <c r="H50" s="96"/>
      <c r="I50" s="95"/>
      <c r="J50" s="107"/>
      <c r="K50" s="92" t="s">
        <v>117</v>
      </c>
      <c r="L50" s="93"/>
    </row>
    <row r="51" spans="1:12">
      <c r="A51" s="84">
        <f t="shared" si="9"/>
        <v>49</v>
      </c>
      <c r="B51" s="87"/>
      <c r="C51" s="109"/>
      <c r="D51" s="92" t="s">
        <v>118</v>
      </c>
      <c r="E51" s="88" t="s">
        <v>14</v>
      </c>
      <c r="F51" s="89" t="s">
        <v>15</v>
      </c>
      <c r="G51" s="95"/>
      <c r="H51" s="96"/>
      <c r="I51" s="95"/>
      <c r="J51" s="107"/>
      <c r="K51" s="92" t="s">
        <v>119</v>
      </c>
      <c r="L51" s="93"/>
    </row>
    <row r="52" spans="1:12">
      <c r="A52" s="84">
        <f t="shared" si="9"/>
        <v>50</v>
      </c>
      <c r="B52" s="87"/>
      <c r="C52" s="109"/>
      <c r="D52" s="92" t="s">
        <v>120</v>
      </c>
      <c r="E52" s="88" t="s">
        <v>14</v>
      </c>
      <c r="F52" s="89" t="s">
        <v>15</v>
      </c>
      <c r="G52" s="95"/>
      <c r="H52" s="96"/>
      <c r="I52" s="95"/>
      <c r="J52" s="107"/>
      <c r="K52" s="92" t="s">
        <v>121</v>
      </c>
      <c r="L52" s="93"/>
    </row>
    <row r="53" spans="1:12">
      <c r="A53" s="84">
        <f t="shared" si="9"/>
        <v>51</v>
      </c>
      <c r="B53" s="87"/>
      <c r="C53" s="109"/>
      <c r="D53" s="92" t="s">
        <v>122</v>
      </c>
      <c r="E53" s="88" t="s">
        <v>14</v>
      </c>
      <c r="F53" s="89" t="s">
        <v>15</v>
      </c>
      <c r="G53" s="95"/>
      <c r="H53" s="96"/>
      <c r="I53" s="95"/>
      <c r="J53" s="107"/>
      <c r="K53" s="92" t="s">
        <v>123</v>
      </c>
      <c r="L53" s="93"/>
    </row>
    <row r="54" spans="1:12">
      <c r="A54" s="84">
        <f t="shared" ref="A54:A63" si="10">ROW()-2</f>
        <v>52</v>
      </c>
      <c r="B54" s="87"/>
      <c r="C54" s="111" t="s">
        <v>27</v>
      </c>
      <c r="D54" s="118" t="s">
        <v>124</v>
      </c>
      <c r="E54" s="88" t="s">
        <v>14</v>
      </c>
      <c r="F54" s="89"/>
      <c r="G54" s="90">
        <v>2800</v>
      </c>
      <c r="H54" s="91">
        <v>1</v>
      </c>
      <c r="I54" s="90">
        <f>G54*H54</f>
        <v>2800</v>
      </c>
      <c r="J54" s="107">
        <f>I54*12</f>
        <v>33600</v>
      </c>
      <c r="K54" s="92" t="s">
        <v>125</v>
      </c>
      <c r="L54" s="93"/>
    </row>
    <row r="55" spans="1:12">
      <c r="A55" s="84">
        <f t="shared" si="10"/>
        <v>53</v>
      </c>
      <c r="B55" s="87"/>
      <c r="C55" s="111"/>
      <c r="D55" s="118" t="s">
        <v>126</v>
      </c>
      <c r="E55" s="88" t="s">
        <v>14</v>
      </c>
      <c r="F55" s="89"/>
      <c r="G55" s="90"/>
      <c r="H55" s="91"/>
      <c r="I55" s="90"/>
      <c r="J55" s="107"/>
      <c r="K55" s="92" t="s">
        <v>127</v>
      </c>
      <c r="L55" s="93"/>
    </row>
    <row r="56" spans="1:12">
      <c r="A56" s="84">
        <f t="shared" si="10"/>
        <v>54</v>
      </c>
      <c r="B56" s="87"/>
      <c r="C56" s="111"/>
      <c r="D56" s="118" t="s">
        <v>128</v>
      </c>
      <c r="E56" s="88" t="s">
        <v>14</v>
      </c>
      <c r="F56" s="89"/>
      <c r="G56" s="90"/>
      <c r="H56" s="91"/>
      <c r="I56" s="90"/>
      <c r="J56" s="107"/>
      <c r="K56" s="92" t="s">
        <v>129</v>
      </c>
      <c r="L56" s="93"/>
    </row>
    <row r="57" spans="1:12">
      <c r="A57" s="84">
        <f t="shared" si="10"/>
        <v>55</v>
      </c>
      <c r="B57" s="87"/>
      <c r="C57" s="111"/>
      <c r="D57" s="92" t="s">
        <v>130</v>
      </c>
      <c r="E57" s="88" t="s">
        <v>14</v>
      </c>
      <c r="F57" s="89"/>
      <c r="G57" s="90"/>
      <c r="H57" s="91"/>
      <c r="I57" s="90"/>
      <c r="J57" s="107"/>
      <c r="K57" s="92" t="s">
        <v>131</v>
      </c>
      <c r="L57" s="93"/>
    </row>
    <row r="58" spans="1:12">
      <c r="A58" s="84">
        <f t="shared" si="10"/>
        <v>56</v>
      </c>
      <c r="B58" s="87"/>
      <c r="C58" s="111"/>
      <c r="D58" s="110" t="s">
        <v>132</v>
      </c>
      <c r="E58" s="88" t="s">
        <v>14</v>
      </c>
      <c r="F58" s="89"/>
      <c r="G58" s="90"/>
      <c r="H58" s="91"/>
      <c r="I58" s="90"/>
      <c r="J58" s="107"/>
      <c r="K58" s="92" t="s">
        <v>133</v>
      </c>
      <c r="L58" s="93" t="s">
        <v>102</v>
      </c>
    </row>
    <row r="59" spans="1:12">
      <c r="A59" s="84">
        <f t="shared" si="10"/>
        <v>57</v>
      </c>
      <c r="B59" s="87"/>
      <c r="C59" s="111"/>
      <c r="D59" s="110" t="s">
        <v>134</v>
      </c>
      <c r="E59" s="88" t="s">
        <v>14</v>
      </c>
      <c r="F59" s="89"/>
      <c r="G59" s="90"/>
      <c r="H59" s="91"/>
      <c r="I59" s="90"/>
      <c r="J59" s="107"/>
      <c r="K59" s="92" t="s">
        <v>135</v>
      </c>
      <c r="L59" s="93" t="s">
        <v>102</v>
      </c>
    </row>
    <row r="60" spans="1:12">
      <c r="A60" s="84">
        <f t="shared" si="10"/>
        <v>58</v>
      </c>
      <c r="B60" s="87"/>
      <c r="C60" s="111"/>
      <c r="D60" s="110" t="s">
        <v>136</v>
      </c>
      <c r="E60" s="88" t="s">
        <v>14</v>
      </c>
      <c r="F60" s="89"/>
      <c r="G60" s="90"/>
      <c r="H60" s="91"/>
      <c r="I60" s="90"/>
      <c r="J60" s="107"/>
      <c r="K60" s="92" t="s">
        <v>137</v>
      </c>
      <c r="L60" s="93" t="s">
        <v>102</v>
      </c>
    </row>
    <row r="61" s="1" customFormat="1" spans="1:12">
      <c r="A61" s="84">
        <f t="shared" si="10"/>
        <v>59</v>
      </c>
      <c r="B61" s="87"/>
      <c r="C61" s="111"/>
      <c r="D61" s="110" t="s">
        <v>138</v>
      </c>
      <c r="E61" s="88" t="s">
        <v>14</v>
      </c>
      <c r="F61" s="89"/>
      <c r="G61" s="90"/>
      <c r="H61" s="91"/>
      <c r="I61" s="90"/>
      <c r="J61" s="107"/>
      <c r="K61" s="92" t="s">
        <v>139</v>
      </c>
      <c r="L61" s="106" t="s">
        <v>80</v>
      </c>
    </row>
    <row r="62" s="1" customFormat="1" spans="1:12">
      <c r="A62" s="84">
        <f t="shared" si="10"/>
        <v>60</v>
      </c>
      <c r="B62" s="87"/>
      <c r="C62" s="111"/>
      <c r="D62" s="110" t="s">
        <v>140</v>
      </c>
      <c r="E62" s="88" t="s">
        <v>14</v>
      </c>
      <c r="F62" s="89"/>
      <c r="G62" s="90"/>
      <c r="H62" s="91"/>
      <c r="I62" s="90"/>
      <c r="J62" s="107"/>
      <c r="K62" s="92" t="s">
        <v>141</v>
      </c>
      <c r="L62" s="106" t="s">
        <v>80</v>
      </c>
    </row>
    <row r="63" spans="1:12">
      <c r="A63" s="84">
        <f t="shared" si="10"/>
        <v>61</v>
      </c>
      <c r="B63" s="87" t="s">
        <v>142</v>
      </c>
      <c r="C63" s="97" t="s">
        <v>2</v>
      </c>
      <c r="D63" s="110" t="s">
        <v>143</v>
      </c>
      <c r="E63" s="88" t="s">
        <v>14</v>
      </c>
      <c r="F63" s="89" t="s">
        <v>15</v>
      </c>
      <c r="G63" s="90">
        <v>3600</v>
      </c>
      <c r="H63" s="91">
        <v>1</v>
      </c>
      <c r="I63" s="90">
        <f>G63*H63</f>
        <v>3600</v>
      </c>
      <c r="J63" s="107">
        <f>I63*12</f>
        <v>43200</v>
      </c>
      <c r="K63" s="92" t="s">
        <v>144</v>
      </c>
      <c r="L63" s="93"/>
    </row>
    <row r="64" spans="1:12">
      <c r="A64" s="84">
        <f t="shared" ref="A64:A73" si="11">ROW()-2</f>
        <v>62</v>
      </c>
      <c r="B64" s="104"/>
      <c r="C64" s="97"/>
      <c r="D64" s="110" t="s">
        <v>145</v>
      </c>
      <c r="E64" s="88" t="s">
        <v>14</v>
      </c>
      <c r="F64" s="89" t="s">
        <v>15</v>
      </c>
      <c r="G64" s="95"/>
      <c r="H64" s="96"/>
      <c r="I64" s="95"/>
      <c r="J64" s="107"/>
      <c r="K64" s="92" t="s">
        <v>146</v>
      </c>
      <c r="L64" s="93"/>
    </row>
    <row r="65" spans="1:12">
      <c r="A65" s="84">
        <f t="shared" si="11"/>
        <v>63</v>
      </c>
      <c r="B65" s="104"/>
      <c r="C65" s="97"/>
      <c r="D65" s="110" t="s">
        <v>147</v>
      </c>
      <c r="E65" s="88" t="s">
        <v>14</v>
      </c>
      <c r="F65" s="89" t="s">
        <v>15</v>
      </c>
      <c r="G65" s="95"/>
      <c r="H65" s="96"/>
      <c r="I65" s="95"/>
      <c r="J65" s="107"/>
      <c r="K65" s="92" t="s">
        <v>148</v>
      </c>
      <c r="L65" s="93"/>
    </row>
    <row r="66" spans="1:12">
      <c r="A66" s="84">
        <f t="shared" si="11"/>
        <v>64</v>
      </c>
      <c r="B66" s="104"/>
      <c r="C66" s="97"/>
      <c r="D66" s="112" t="s">
        <v>149</v>
      </c>
      <c r="E66" s="88" t="s">
        <v>14</v>
      </c>
      <c r="F66" s="89" t="s">
        <v>15</v>
      </c>
      <c r="G66" s="95"/>
      <c r="H66" s="96"/>
      <c r="I66" s="95"/>
      <c r="J66" s="107"/>
      <c r="K66" s="92" t="s">
        <v>150</v>
      </c>
      <c r="L66" s="93"/>
    </row>
    <row r="67" ht="24.85" spans="1:12">
      <c r="A67" s="84">
        <f t="shared" si="11"/>
        <v>65</v>
      </c>
      <c r="B67" s="87" t="s">
        <v>151</v>
      </c>
      <c r="C67" s="97" t="s">
        <v>2</v>
      </c>
      <c r="D67" s="110" t="s">
        <v>152</v>
      </c>
      <c r="E67" s="88" t="s">
        <v>14</v>
      </c>
      <c r="F67" s="89" t="s">
        <v>15</v>
      </c>
      <c r="G67" s="90">
        <v>3000</v>
      </c>
      <c r="H67" s="91">
        <v>1</v>
      </c>
      <c r="I67" s="90">
        <f>G67*H67</f>
        <v>3000</v>
      </c>
      <c r="J67" s="107">
        <f>I67*12</f>
        <v>36000</v>
      </c>
      <c r="K67" s="92" t="s">
        <v>153</v>
      </c>
      <c r="L67" s="93"/>
    </row>
    <row r="68" spans="1:12">
      <c r="A68" s="84">
        <f t="shared" si="11"/>
        <v>66</v>
      </c>
      <c r="B68" s="87"/>
      <c r="C68" s="97"/>
      <c r="D68" s="112" t="s">
        <v>154</v>
      </c>
      <c r="E68" s="88" t="s">
        <v>14</v>
      </c>
      <c r="F68" s="89" t="s">
        <v>15</v>
      </c>
      <c r="G68" s="90"/>
      <c r="H68" s="91"/>
      <c r="I68" s="90"/>
      <c r="J68" s="107"/>
      <c r="K68" s="92" t="s">
        <v>155</v>
      </c>
      <c r="L68" s="93"/>
    </row>
    <row r="69" s="1" customFormat="1" ht="24.85" spans="1:12">
      <c r="A69" s="84">
        <f t="shared" si="11"/>
        <v>67</v>
      </c>
      <c r="B69" s="87"/>
      <c r="C69" s="97"/>
      <c r="D69" s="112" t="s">
        <v>156</v>
      </c>
      <c r="E69" s="88" t="s">
        <v>14</v>
      </c>
      <c r="F69" s="89" t="s">
        <v>15</v>
      </c>
      <c r="G69" s="90"/>
      <c r="H69" s="91"/>
      <c r="I69" s="90"/>
      <c r="J69" s="107"/>
      <c r="K69" s="92" t="s">
        <v>157</v>
      </c>
      <c r="L69" s="106" t="s">
        <v>57</v>
      </c>
    </row>
    <row r="70" ht="24.85" spans="1:12">
      <c r="A70" s="84">
        <f t="shared" si="11"/>
        <v>68</v>
      </c>
      <c r="B70" s="87"/>
      <c r="C70" s="97"/>
      <c r="D70" s="112" t="s">
        <v>158</v>
      </c>
      <c r="E70" s="88" t="s">
        <v>14</v>
      </c>
      <c r="F70" s="89" t="s">
        <v>15</v>
      </c>
      <c r="G70" s="90"/>
      <c r="H70" s="91"/>
      <c r="I70" s="90"/>
      <c r="J70" s="107"/>
      <c r="K70" s="92" t="s">
        <v>159</v>
      </c>
      <c r="L70" s="93"/>
    </row>
    <row r="71" ht="24.85" spans="1:12">
      <c r="A71" s="84">
        <f t="shared" si="11"/>
        <v>69</v>
      </c>
      <c r="B71" s="87"/>
      <c r="C71" s="97"/>
      <c r="D71" s="112" t="s">
        <v>160</v>
      </c>
      <c r="E71" s="88" t="s">
        <v>14</v>
      </c>
      <c r="F71" s="89" t="s">
        <v>15</v>
      </c>
      <c r="G71" s="90"/>
      <c r="H71" s="91"/>
      <c r="I71" s="90"/>
      <c r="J71" s="107"/>
      <c r="K71" s="92" t="s">
        <v>161</v>
      </c>
      <c r="L71" s="93"/>
    </row>
    <row r="72" s="1" customFormat="1" spans="1:12">
      <c r="A72" s="84">
        <f t="shared" si="11"/>
        <v>70</v>
      </c>
      <c r="B72" s="87"/>
      <c r="C72" s="97"/>
      <c r="D72" s="112" t="s">
        <v>162</v>
      </c>
      <c r="E72" s="88" t="s">
        <v>14</v>
      </c>
      <c r="F72" s="89" t="s">
        <v>15</v>
      </c>
      <c r="G72" s="90"/>
      <c r="H72" s="91"/>
      <c r="I72" s="90"/>
      <c r="J72" s="107"/>
      <c r="K72" s="92" t="s">
        <v>163</v>
      </c>
      <c r="L72" s="106" t="s">
        <v>57</v>
      </c>
    </row>
    <row r="73" s="1" customFormat="1" spans="1:12">
      <c r="A73" s="84">
        <f t="shared" si="11"/>
        <v>71</v>
      </c>
      <c r="B73" s="87"/>
      <c r="C73" s="97"/>
      <c r="D73" s="112" t="s">
        <v>164</v>
      </c>
      <c r="E73" s="88" t="s">
        <v>14</v>
      </c>
      <c r="F73" s="89" t="s">
        <v>15</v>
      </c>
      <c r="G73" s="90"/>
      <c r="H73" s="91"/>
      <c r="I73" s="90"/>
      <c r="J73" s="107"/>
      <c r="K73" s="92" t="s">
        <v>165</v>
      </c>
      <c r="L73" s="106" t="s">
        <v>57</v>
      </c>
    </row>
    <row r="74" spans="1:12">
      <c r="A74" s="84">
        <f t="shared" ref="A74:A83" si="12">ROW()-2</f>
        <v>72</v>
      </c>
      <c r="B74" s="87"/>
      <c r="C74" s="99" t="s">
        <v>27</v>
      </c>
      <c r="D74" s="110" t="s">
        <v>166</v>
      </c>
      <c r="E74" s="88" t="s">
        <v>14</v>
      </c>
      <c r="F74" s="89"/>
      <c r="G74" s="90">
        <v>2000</v>
      </c>
      <c r="H74" s="91">
        <v>1</v>
      </c>
      <c r="I74" s="90">
        <f>G74*H74</f>
        <v>2000</v>
      </c>
      <c r="J74" s="107">
        <f>I74*12</f>
        <v>24000</v>
      </c>
      <c r="K74" s="92" t="s">
        <v>167</v>
      </c>
      <c r="L74" s="93"/>
    </row>
    <row r="75" s="1" customFormat="1" ht="24.85" spans="1:12">
      <c r="A75" s="84">
        <f t="shared" si="12"/>
        <v>73</v>
      </c>
      <c r="B75" s="87"/>
      <c r="C75" s="99"/>
      <c r="D75" s="112" t="s">
        <v>168</v>
      </c>
      <c r="E75" s="88" t="s">
        <v>14</v>
      </c>
      <c r="F75" s="89"/>
      <c r="G75" s="90"/>
      <c r="H75" s="91"/>
      <c r="I75" s="90"/>
      <c r="J75" s="107"/>
      <c r="K75" s="92" t="s">
        <v>169</v>
      </c>
      <c r="L75" s="106" t="s">
        <v>57</v>
      </c>
    </row>
    <row r="76" s="1" customFormat="1" spans="1:12">
      <c r="A76" s="84">
        <f t="shared" si="12"/>
        <v>74</v>
      </c>
      <c r="B76" s="87"/>
      <c r="C76" s="99"/>
      <c r="D76" s="112" t="s">
        <v>170</v>
      </c>
      <c r="E76" s="88" t="s">
        <v>14</v>
      </c>
      <c r="F76" s="89"/>
      <c r="G76" s="90"/>
      <c r="H76" s="91"/>
      <c r="I76" s="90"/>
      <c r="J76" s="107"/>
      <c r="K76" s="92" t="s">
        <v>171</v>
      </c>
      <c r="L76" s="106" t="s">
        <v>57</v>
      </c>
    </row>
    <row r="77" s="1" customFormat="1" spans="1:12">
      <c r="A77" s="84">
        <f t="shared" si="12"/>
        <v>75</v>
      </c>
      <c r="B77" s="87"/>
      <c r="C77" s="99"/>
      <c r="D77" s="112" t="s">
        <v>172</v>
      </c>
      <c r="E77" s="88" t="s">
        <v>14</v>
      </c>
      <c r="F77" s="89"/>
      <c r="G77" s="90"/>
      <c r="H77" s="91"/>
      <c r="I77" s="90"/>
      <c r="J77" s="107"/>
      <c r="K77" s="92" t="s">
        <v>173</v>
      </c>
      <c r="L77" s="106" t="s">
        <v>80</v>
      </c>
    </row>
    <row r="78" s="1" customFormat="1" ht="24.85" spans="1:12">
      <c r="A78" s="84">
        <f t="shared" si="12"/>
        <v>76</v>
      </c>
      <c r="B78" s="87"/>
      <c r="C78" s="99"/>
      <c r="D78" s="112" t="s">
        <v>174</v>
      </c>
      <c r="E78" s="88" t="s">
        <v>14</v>
      </c>
      <c r="F78" s="89"/>
      <c r="G78" s="90"/>
      <c r="H78" s="91"/>
      <c r="I78" s="90"/>
      <c r="J78" s="107"/>
      <c r="K78" s="92" t="s">
        <v>175</v>
      </c>
      <c r="L78" s="106" t="s">
        <v>57</v>
      </c>
    </row>
    <row r="79" spans="1:12">
      <c r="A79" s="84">
        <f t="shared" si="12"/>
        <v>77</v>
      </c>
      <c r="B79" s="119" t="s">
        <v>176</v>
      </c>
      <c r="C79" s="120" t="s">
        <v>27</v>
      </c>
      <c r="D79" s="110" t="s">
        <v>177</v>
      </c>
      <c r="E79" s="88" t="s">
        <v>14</v>
      </c>
      <c r="F79" s="89"/>
      <c r="G79" s="90">
        <v>2000</v>
      </c>
      <c r="H79" s="91">
        <v>1</v>
      </c>
      <c r="I79" s="90">
        <f>G79*H79</f>
        <v>2000</v>
      </c>
      <c r="J79" s="107">
        <f>I79*12</f>
        <v>24000</v>
      </c>
      <c r="K79" s="92" t="s">
        <v>178</v>
      </c>
      <c r="L79" s="121" t="s">
        <v>102</v>
      </c>
    </row>
    <row r="80" spans="1:12">
      <c r="A80" s="84">
        <f t="shared" si="12"/>
        <v>78</v>
      </c>
      <c r="B80" s="122"/>
      <c r="C80" s="123"/>
      <c r="D80" s="110" t="s">
        <v>179</v>
      </c>
      <c r="E80" s="88" t="s">
        <v>14</v>
      </c>
      <c r="F80" s="89"/>
      <c r="G80" s="90"/>
      <c r="H80" s="91"/>
      <c r="I80" s="90"/>
      <c r="J80" s="107"/>
      <c r="K80" s="92" t="s">
        <v>180</v>
      </c>
      <c r="L80" s="124"/>
    </row>
    <row r="81" spans="1:12">
      <c r="A81" s="84">
        <f t="shared" si="12"/>
        <v>79</v>
      </c>
      <c r="B81" s="122"/>
      <c r="C81" s="123"/>
      <c r="D81" s="110" t="s">
        <v>181</v>
      </c>
      <c r="E81" s="88" t="s">
        <v>14</v>
      </c>
      <c r="F81" s="89"/>
      <c r="G81" s="90"/>
      <c r="H81" s="91"/>
      <c r="I81" s="90"/>
      <c r="J81" s="107"/>
      <c r="K81" s="92" t="s">
        <v>182</v>
      </c>
      <c r="L81" s="124"/>
    </row>
    <row r="82" spans="1:12">
      <c r="A82" s="84">
        <f t="shared" si="12"/>
        <v>80</v>
      </c>
      <c r="B82" s="122"/>
      <c r="C82" s="123"/>
      <c r="D82" s="110" t="s">
        <v>183</v>
      </c>
      <c r="E82" s="88" t="s">
        <v>14</v>
      </c>
      <c r="F82" s="89"/>
      <c r="G82" s="90"/>
      <c r="H82" s="91"/>
      <c r="I82" s="90"/>
      <c r="J82" s="107"/>
      <c r="K82" s="92" t="s">
        <v>184</v>
      </c>
      <c r="L82" s="124"/>
    </row>
    <row r="83" spans="1:12">
      <c r="A83" s="84">
        <f t="shared" si="12"/>
        <v>81</v>
      </c>
      <c r="B83" s="122"/>
      <c r="C83" s="123"/>
      <c r="D83" s="110" t="s">
        <v>185</v>
      </c>
      <c r="E83" s="88" t="s">
        <v>14</v>
      </c>
      <c r="F83" s="89"/>
      <c r="G83" s="90"/>
      <c r="H83" s="91"/>
      <c r="I83" s="90"/>
      <c r="J83" s="107"/>
      <c r="K83" s="92" t="s">
        <v>186</v>
      </c>
      <c r="L83" s="124"/>
    </row>
    <row r="84" spans="1:12">
      <c r="A84" s="84">
        <f t="shared" ref="A84:A93" si="13">ROW()-2</f>
        <v>82</v>
      </c>
      <c r="B84" s="122"/>
      <c r="C84" s="123"/>
      <c r="D84" s="110" t="s">
        <v>187</v>
      </c>
      <c r="E84" s="88" t="s">
        <v>14</v>
      </c>
      <c r="F84" s="89"/>
      <c r="G84" s="90"/>
      <c r="H84" s="91"/>
      <c r="I84" s="90"/>
      <c r="J84" s="107"/>
      <c r="K84" s="92" t="s">
        <v>188</v>
      </c>
      <c r="L84" s="124"/>
    </row>
    <row r="85" spans="1:12">
      <c r="A85" s="84">
        <f t="shared" si="13"/>
        <v>83</v>
      </c>
      <c r="B85" s="122"/>
      <c r="C85" s="123"/>
      <c r="D85" s="110" t="s">
        <v>189</v>
      </c>
      <c r="E85" s="88" t="s">
        <v>14</v>
      </c>
      <c r="F85" s="89"/>
      <c r="G85" s="90">
        <v>2000</v>
      </c>
      <c r="H85" s="91">
        <v>1</v>
      </c>
      <c r="I85" s="90">
        <f>G85*H85</f>
        <v>2000</v>
      </c>
      <c r="J85" s="107">
        <f>I85*12</f>
        <v>24000</v>
      </c>
      <c r="K85" s="92" t="s">
        <v>190</v>
      </c>
      <c r="L85" s="124" t="s">
        <v>102</v>
      </c>
    </row>
    <row r="86" spans="1:12">
      <c r="A86" s="84">
        <f t="shared" si="13"/>
        <v>84</v>
      </c>
      <c r="B86" s="87" t="s">
        <v>191</v>
      </c>
      <c r="C86" s="99" t="s">
        <v>27</v>
      </c>
      <c r="D86" s="112" t="s">
        <v>192</v>
      </c>
      <c r="E86" s="88" t="s">
        <v>14</v>
      </c>
      <c r="F86" s="89"/>
      <c r="G86" s="90">
        <v>0</v>
      </c>
      <c r="H86" s="91">
        <v>1</v>
      </c>
      <c r="I86" s="90">
        <v>0</v>
      </c>
      <c r="J86" s="107">
        <v>0</v>
      </c>
      <c r="K86" s="92" t="s">
        <v>193</v>
      </c>
      <c r="L86" s="93" t="s">
        <v>102</v>
      </c>
    </row>
    <row r="87" spans="1:12">
      <c r="A87" s="84">
        <f t="shared" si="13"/>
        <v>85</v>
      </c>
      <c r="B87" s="87"/>
      <c r="C87" s="99"/>
      <c r="D87" s="112" t="s">
        <v>194</v>
      </c>
      <c r="E87" s="88" t="s">
        <v>14</v>
      </c>
      <c r="F87" s="89"/>
      <c r="G87" s="90">
        <v>88000</v>
      </c>
      <c r="H87" s="91">
        <v>1</v>
      </c>
      <c r="I87" s="90">
        <f t="shared" ref="I87:I92" si="14">G87*H87</f>
        <v>88000</v>
      </c>
      <c r="J87" s="107">
        <v>88000</v>
      </c>
      <c r="K87" s="92" t="s">
        <v>195</v>
      </c>
      <c r="L87" s="93"/>
    </row>
    <row r="88" spans="1:12">
      <c r="A88" s="84">
        <f t="shared" si="13"/>
        <v>86</v>
      </c>
      <c r="B88" s="104" t="s">
        <v>196</v>
      </c>
      <c r="C88" s="99" t="s">
        <v>27</v>
      </c>
      <c r="D88" s="110" t="s">
        <v>197</v>
      </c>
      <c r="E88" s="88" t="s">
        <v>14</v>
      </c>
      <c r="F88" s="89"/>
      <c r="G88" s="90">
        <v>0</v>
      </c>
      <c r="H88" s="91">
        <v>1</v>
      </c>
      <c r="I88" s="90">
        <f t="shared" si="14"/>
        <v>0</v>
      </c>
      <c r="J88" s="107">
        <f>I88*12</f>
        <v>0</v>
      </c>
      <c r="K88" s="92" t="s">
        <v>198</v>
      </c>
      <c r="L88" s="93"/>
    </row>
    <row r="89" spans="1:12">
      <c r="A89" s="84">
        <f t="shared" si="13"/>
        <v>87</v>
      </c>
      <c r="B89" s="104"/>
      <c r="C89" s="99"/>
      <c r="D89" s="112" t="s">
        <v>199</v>
      </c>
      <c r="E89" s="88" t="s">
        <v>200</v>
      </c>
      <c r="F89" s="89"/>
      <c r="G89" s="90">
        <v>0</v>
      </c>
      <c r="H89" s="91">
        <v>1</v>
      </c>
      <c r="I89" s="90">
        <f t="shared" si="14"/>
        <v>0</v>
      </c>
      <c r="J89" s="107">
        <f>I89*12</f>
        <v>0</v>
      </c>
      <c r="K89" s="92" t="s">
        <v>201</v>
      </c>
      <c r="L89" s="93" t="s">
        <v>102</v>
      </c>
    </row>
    <row r="90" spans="1:12">
      <c r="A90" s="84">
        <f t="shared" si="13"/>
        <v>88</v>
      </c>
      <c r="B90" s="104"/>
      <c r="C90" s="99"/>
      <c r="D90" s="112" t="s">
        <v>202</v>
      </c>
      <c r="E90" s="88" t="s">
        <v>200</v>
      </c>
      <c r="F90" s="89"/>
      <c r="G90" s="90">
        <v>3000</v>
      </c>
      <c r="H90" s="91">
        <v>1</v>
      </c>
      <c r="I90" s="90">
        <f t="shared" si="14"/>
        <v>3000</v>
      </c>
      <c r="J90" s="107">
        <f>I90*12</f>
        <v>36000</v>
      </c>
      <c r="K90" s="92" t="s">
        <v>203</v>
      </c>
      <c r="L90" s="93" t="s">
        <v>102</v>
      </c>
    </row>
    <row r="91" spans="1:12">
      <c r="A91" s="84">
        <f t="shared" si="13"/>
        <v>89</v>
      </c>
      <c r="B91" s="104"/>
      <c r="C91" s="99"/>
      <c r="D91" s="110" t="s">
        <v>204</v>
      </c>
      <c r="E91" s="88" t="s">
        <v>200</v>
      </c>
      <c r="F91" s="89"/>
      <c r="G91" s="90">
        <v>88000</v>
      </c>
      <c r="H91" s="91">
        <v>1</v>
      </c>
      <c r="I91" s="90">
        <f t="shared" si="14"/>
        <v>88000</v>
      </c>
      <c r="J91" s="107">
        <v>88000</v>
      </c>
      <c r="K91" s="92" t="s">
        <v>205</v>
      </c>
      <c r="L91" s="93" t="s">
        <v>102</v>
      </c>
    </row>
    <row r="92" spans="1:12">
      <c r="A92" s="84">
        <f t="shared" si="13"/>
        <v>90</v>
      </c>
      <c r="B92" s="125" t="s">
        <v>206</v>
      </c>
      <c r="C92" s="109" t="s">
        <v>2</v>
      </c>
      <c r="D92" s="110" t="s">
        <v>207</v>
      </c>
      <c r="E92" s="88" t="s">
        <v>14</v>
      </c>
      <c r="F92" s="89" t="s">
        <v>15</v>
      </c>
      <c r="G92" s="126">
        <v>6800</v>
      </c>
      <c r="H92" s="96">
        <v>1</v>
      </c>
      <c r="I92" s="126">
        <f t="shared" si="14"/>
        <v>6800</v>
      </c>
      <c r="J92" s="107">
        <f>I92*12</f>
        <v>81600</v>
      </c>
      <c r="K92" s="92" t="s">
        <v>208</v>
      </c>
      <c r="L92" s="93"/>
    </row>
    <row r="93" s="1" customFormat="1" spans="1:12">
      <c r="A93" s="84">
        <f t="shared" si="13"/>
        <v>91</v>
      </c>
      <c r="B93" s="125"/>
      <c r="C93" s="109"/>
      <c r="D93" s="110" t="s">
        <v>209</v>
      </c>
      <c r="E93" s="88" t="s">
        <v>14</v>
      </c>
      <c r="F93" s="89" t="s">
        <v>15</v>
      </c>
      <c r="G93" s="126"/>
      <c r="H93" s="96"/>
      <c r="I93" s="126"/>
      <c r="J93" s="107"/>
      <c r="K93" s="92" t="s">
        <v>210</v>
      </c>
      <c r="L93" s="106" t="s">
        <v>57</v>
      </c>
    </row>
    <row r="94" ht="24.85" spans="1:12">
      <c r="A94" s="84">
        <f t="shared" ref="A94:A103" si="15">ROW()-2</f>
        <v>92</v>
      </c>
      <c r="B94" s="125"/>
      <c r="C94" s="127"/>
      <c r="D94" s="110" t="s">
        <v>211</v>
      </c>
      <c r="E94" s="88" t="s">
        <v>14</v>
      </c>
      <c r="F94" s="89" t="s">
        <v>15</v>
      </c>
      <c r="G94" s="128"/>
      <c r="H94" s="129"/>
      <c r="I94" s="128"/>
      <c r="J94" s="107"/>
      <c r="K94" s="92" t="s">
        <v>212</v>
      </c>
      <c r="L94" s="93"/>
    </row>
    <row r="95" spans="1:12">
      <c r="A95" s="84">
        <f t="shared" si="15"/>
        <v>93</v>
      </c>
      <c r="B95" s="125"/>
      <c r="C95" s="109"/>
      <c r="D95" s="110" t="s">
        <v>213</v>
      </c>
      <c r="E95" s="88" t="s">
        <v>14</v>
      </c>
      <c r="F95" s="89" t="s">
        <v>15</v>
      </c>
      <c r="G95" s="126"/>
      <c r="H95" s="96"/>
      <c r="I95" s="126"/>
      <c r="J95" s="107"/>
      <c r="K95" s="92" t="s">
        <v>214</v>
      </c>
      <c r="L95" s="93"/>
    </row>
    <row r="96" ht="24.85" spans="1:12">
      <c r="A96" s="84">
        <f t="shared" si="15"/>
        <v>94</v>
      </c>
      <c r="B96" s="125"/>
      <c r="C96" s="109"/>
      <c r="D96" s="110" t="s">
        <v>215</v>
      </c>
      <c r="E96" s="88" t="s">
        <v>14</v>
      </c>
      <c r="F96" s="89" t="s">
        <v>15</v>
      </c>
      <c r="G96" s="126"/>
      <c r="H96" s="96"/>
      <c r="I96" s="126"/>
      <c r="J96" s="107"/>
      <c r="K96" s="92" t="s">
        <v>216</v>
      </c>
      <c r="L96" s="93"/>
    </row>
    <row r="97" spans="1:12">
      <c r="A97" s="84">
        <f t="shared" si="15"/>
        <v>95</v>
      </c>
      <c r="B97" s="125"/>
      <c r="C97" s="109"/>
      <c r="D97" s="110" t="s">
        <v>217</v>
      </c>
      <c r="E97" s="88" t="s">
        <v>14</v>
      </c>
      <c r="F97" s="89" t="s">
        <v>15</v>
      </c>
      <c r="G97" s="126"/>
      <c r="H97" s="96"/>
      <c r="I97" s="126"/>
      <c r="J97" s="107"/>
      <c r="K97" s="92" t="s">
        <v>218</v>
      </c>
      <c r="L97" s="93"/>
    </row>
    <row r="98" spans="1:12">
      <c r="A98" s="84">
        <f t="shared" si="15"/>
        <v>96</v>
      </c>
      <c r="B98" s="125"/>
      <c r="C98" s="109"/>
      <c r="D98" s="110" t="s">
        <v>219</v>
      </c>
      <c r="E98" s="88" t="s">
        <v>14</v>
      </c>
      <c r="F98" s="89" t="s">
        <v>15</v>
      </c>
      <c r="G98" s="126"/>
      <c r="H98" s="96"/>
      <c r="I98" s="126"/>
      <c r="J98" s="107"/>
      <c r="K98" s="92" t="s">
        <v>220</v>
      </c>
      <c r="L98" s="93"/>
    </row>
    <row r="99" spans="1:12">
      <c r="A99" s="84">
        <f t="shared" si="15"/>
        <v>97</v>
      </c>
      <c r="B99" s="125"/>
      <c r="C99" s="109"/>
      <c r="D99" s="110" t="s">
        <v>221</v>
      </c>
      <c r="E99" s="88" t="s">
        <v>14</v>
      </c>
      <c r="F99" s="89" t="s">
        <v>15</v>
      </c>
      <c r="G99" s="126"/>
      <c r="H99" s="96"/>
      <c r="I99" s="126"/>
      <c r="J99" s="107"/>
      <c r="K99" s="92" t="s">
        <v>222</v>
      </c>
      <c r="L99" s="93"/>
    </row>
    <row r="100" spans="1:12">
      <c r="A100" s="84">
        <f t="shared" si="15"/>
        <v>98</v>
      </c>
      <c r="B100" s="125"/>
      <c r="C100" s="109"/>
      <c r="D100" s="110" t="s">
        <v>223</v>
      </c>
      <c r="E100" s="88" t="s">
        <v>14</v>
      </c>
      <c r="F100" s="89" t="s">
        <v>15</v>
      </c>
      <c r="G100" s="126"/>
      <c r="H100" s="96"/>
      <c r="I100" s="126"/>
      <c r="J100" s="107"/>
      <c r="K100" s="92" t="s">
        <v>224</v>
      </c>
      <c r="L100" s="93"/>
    </row>
    <row r="101" spans="1:12">
      <c r="A101" s="84">
        <f t="shared" si="15"/>
        <v>99</v>
      </c>
      <c r="B101" s="125"/>
      <c r="C101" s="109"/>
      <c r="D101" s="112" t="s">
        <v>225</v>
      </c>
      <c r="E101" s="88" t="s">
        <v>14</v>
      </c>
      <c r="F101" s="89" t="s">
        <v>15</v>
      </c>
      <c r="G101" s="126"/>
      <c r="H101" s="96"/>
      <c r="I101" s="126"/>
      <c r="J101" s="107"/>
      <c r="K101" s="92" t="s">
        <v>226</v>
      </c>
      <c r="L101" s="93"/>
    </row>
    <row r="102" spans="1:12">
      <c r="A102" s="84">
        <f t="shared" si="15"/>
        <v>100</v>
      </c>
      <c r="B102" s="125"/>
      <c r="C102" s="109"/>
      <c r="D102" s="110" t="s">
        <v>227</v>
      </c>
      <c r="E102" s="88" t="s">
        <v>14</v>
      </c>
      <c r="F102" s="89" t="s">
        <v>15</v>
      </c>
      <c r="G102" s="126"/>
      <c r="H102" s="96"/>
      <c r="I102" s="126"/>
      <c r="J102" s="107"/>
      <c r="K102" s="92" t="s">
        <v>228</v>
      </c>
      <c r="L102" s="93"/>
    </row>
    <row r="103" spans="1:12">
      <c r="A103" s="84">
        <f t="shared" si="15"/>
        <v>101</v>
      </c>
      <c r="B103" s="125" t="s">
        <v>229</v>
      </c>
      <c r="C103" s="111" t="s">
        <v>27</v>
      </c>
      <c r="D103" s="110" t="s">
        <v>230</v>
      </c>
      <c r="E103" s="88" t="s">
        <v>14</v>
      </c>
      <c r="F103" s="89"/>
      <c r="G103" s="126">
        <v>6000</v>
      </c>
      <c r="H103" s="96">
        <v>1</v>
      </c>
      <c r="I103" s="126">
        <f>G103*H103</f>
        <v>6000</v>
      </c>
      <c r="J103" s="107">
        <f>I103*12</f>
        <v>72000</v>
      </c>
      <c r="K103" s="92" t="s">
        <v>231</v>
      </c>
      <c r="L103" s="93" t="s">
        <v>102</v>
      </c>
    </row>
    <row r="104" spans="1:12">
      <c r="A104" s="84">
        <f t="shared" ref="A104:A113" si="16">ROW()-2</f>
        <v>102</v>
      </c>
      <c r="B104" s="125"/>
      <c r="C104" s="111"/>
      <c r="D104" s="110" t="s">
        <v>232</v>
      </c>
      <c r="E104" s="88" t="s">
        <v>14</v>
      </c>
      <c r="F104" s="89"/>
      <c r="G104" s="126">
        <v>3600</v>
      </c>
      <c r="H104" s="96">
        <v>1</v>
      </c>
      <c r="I104" s="126">
        <f>G104*H104</f>
        <v>3600</v>
      </c>
      <c r="J104" s="107">
        <f>I104*12</f>
        <v>43200</v>
      </c>
      <c r="K104" s="92" t="s">
        <v>233</v>
      </c>
      <c r="L104" s="93" t="s">
        <v>102</v>
      </c>
    </row>
    <row r="105" s="1" customFormat="1" spans="1:12">
      <c r="A105" s="84">
        <f t="shared" si="16"/>
        <v>103</v>
      </c>
      <c r="B105" s="108" t="s">
        <v>234</v>
      </c>
      <c r="C105" s="111" t="s">
        <v>27</v>
      </c>
      <c r="D105" s="112" t="s">
        <v>235</v>
      </c>
      <c r="E105" s="88" t="s">
        <v>14</v>
      </c>
      <c r="F105" s="89"/>
      <c r="G105" s="126">
        <v>118000</v>
      </c>
      <c r="H105" s="96">
        <v>1</v>
      </c>
      <c r="I105" s="126">
        <f>G105*H105</f>
        <v>118000</v>
      </c>
      <c r="J105" s="107">
        <v>680000</v>
      </c>
      <c r="K105" s="92" t="s">
        <v>236</v>
      </c>
      <c r="L105" s="106" t="s">
        <v>57</v>
      </c>
    </row>
    <row r="106" s="1" customFormat="1" spans="1:12">
      <c r="A106" s="84">
        <f t="shared" si="16"/>
        <v>104</v>
      </c>
      <c r="B106" s="108"/>
      <c r="C106" s="111"/>
      <c r="D106" s="112" t="s">
        <v>237</v>
      </c>
      <c r="E106" s="88" t="s">
        <v>14</v>
      </c>
      <c r="F106" s="89"/>
      <c r="G106" s="126"/>
      <c r="H106" s="96"/>
      <c r="I106" s="126"/>
      <c r="J106" s="107"/>
      <c r="K106" s="92" t="s">
        <v>238</v>
      </c>
      <c r="L106" s="106" t="s">
        <v>57</v>
      </c>
    </row>
    <row r="107" s="1" customFormat="1" spans="1:12">
      <c r="A107" s="84">
        <f t="shared" si="16"/>
        <v>105</v>
      </c>
      <c r="B107" s="108"/>
      <c r="C107" s="111"/>
      <c r="D107" s="112" t="s">
        <v>239</v>
      </c>
      <c r="E107" s="88" t="s">
        <v>14</v>
      </c>
      <c r="F107" s="89"/>
      <c r="G107" s="126"/>
      <c r="H107" s="96"/>
      <c r="I107" s="126"/>
      <c r="J107" s="107"/>
      <c r="K107" s="92" t="s">
        <v>240</v>
      </c>
      <c r="L107" s="106" t="s">
        <v>57</v>
      </c>
    </row>
    <row r="108" s="1" customFormat="1" spans="1:12">
      <c r="A108" s="84">
        <f t="shared" si="16"/>
        <v>106</v>
      </c>
      <c r="B108" s="108"/>
      <c r="C108" s="111"/>
      <c r="D108" s="112" t="s">
        <v>241</v>
      </c>
      <c r="E108" s="88" t="s">
        <v>14</v>
      </c>
      <c r="F108" s="89"/>
      <c r="G108" s="126"/>
      <c r="H108" s="96"/>
      <c r="I108" s="126"/>
      <c r="J108" s="107"/>
      <c r="K108" s="92" t="s">
        <v>242</v>
      </c>
      <c r="L108" s="106" t="s">
        <v>57</v>
      </c>
    </row>
    <row r="109" spans="1:12">
      <c r="A109" s="84">
        <f t="shared" si="16"/>
        <v>107</v>
      </c>
      <c r="B109" s="87" t="s">
        <v>243</v>
      </c>
      <c r="C109" s="111" t="s">
        <v>27</v>
      </c>
      <c r="D109" s="112" t="s">
        <v>244</v>
      </c>
      <c r="E109" s="88" t="s">
        <v>14</v>
      </c>
      <c r="F109" s="89"/>
      <c r="G109" s="90">
        <v>2000</v>
      </c>
      <c r="H109" s="91">
        <v>10</v>
      </c>
      <c r="I109" s="90">
        <f t="shared" ref="I109:I115" si="17">G109*H109</f>
        <v>20000</v>
      </c>
      <c r="J109" s="107">
        <f t="shared" ref="J109:J115" si="18">I109*1</f>
        <v>20000</v>
      </c>
      <c r="K109" s="92" t="s">
        <v>245</v>
      </c>
      <c r="L109" s="106" t="s">
        <v>57</v>
      </c>
    </row>
    <row r="110" spans="1:12">
      <c r="A110" s="84">
        <f t="shared" si="16"/>
        <v>108</v>
      </c>
      <c r="B110" s="108"/>
      <c r="C110" s="111" t="s">
        <v>27</v>
      </c>
      <c r="D110" s="112" t="s">
        <v>246</v>
      </c>
      <c r="E110" s="88" t="s">
        <v>14</v>
      </c>
      <c r="F110" s="89"/>
      <c r="G110" s="90">
        <v>3600</v>
      </c>
      <c r="H110" s="91">
        <v>0</v>
      </c>
      <c r="I110" s="90">
        <f t="shared" si="17"/>
        <v>0</v>
      </c>
      <c r="J110" s="107">
        <f t="shared" si="18"/>
        <v>0</v>
      </c>
      <c r="K110" s="92" t="s">
        <v>247</v>
      </c>
      <c r="L110" s="93"/>
    </row>
    <row r="111" spans="1:12">
      <c r="A111" s="84">
        <f t="shared" si="16"/>
        <v>109</v>
      </c>
      <c r="B111" s="108" t="s">
        <v>248</v>
      </c>
      <c r="C111" s="111" t="s">
        <v>27</v>
      </c>
      <c r="D111" s="112" t="s">
        <v>249</v>
      </c>
      <c r="E111" s="88" t="s">
        <v>14</v>
      </c>
      <c r="F111" s="89"/>
      <c r="G111" s="90">
        <v>5000</v>
      </c>
      <c r="H111" s="91">
        <v>1</v>
      </c>
      <c r="I111" s="90">
        <f t="shared" si="17"/>
        <v>5000</v>
      </c>
      <c r="J111" s="130">
        <v>500000</v>
      </c>
      <c r="K111" s="92" t="s">
        <v>250</v>
      </c>
      <c r="L111" s="106" t="s">
        <v>251</v>
      </c>
    </row>
    <row r="112" spans="1:12">
      <c r="A112" s="84">
        <f t="shared" si="16"/>
        <v>110</v>
      </c>
      <c r="B112" s="108"/>
      <c r="C112" s="111" t="s">
        <v>27</v>
      </c>
      <c r="D112" s="112" t="s">
        <v>252</v>
      </c>
      <c r="E112" s="88" t="s">
        <v>14</v>
      </c>
      <c r="F112" s="89"/>
      <c r="G112" s="90">
        <v>5000</v>
      </c>
      <c r="H112" s="91">
        <v>1</v>
      </c>
      <c r="I112" s="90">
        <f t="shared" si="17"/>
        <v>5000</v>
      </c>
      <c r="J112" s="131"/>
      <c r="K112" s="92" t="s">
        <v>253</v>
      </c>
      <c r="L112" s="106" t="s">
        <v>251</v>
      </c>
    </row>
    <row r="113" spans="1:12">
      <c r="A113" s="84">
        <f t="shared" si="16"/>
        <v>111</v>
      </c>
      <c r="B113" s="87" t="s">
        <v>254</v>
      </c>
      <c r="C113" s="111" t="s">
        <v>27</v>
      </c>
      <c r="D113" s="112" t="s">
        <v>255</v>
      </c>
      <c r="E113" s="88" t="s">
        <v>14</v>
      </c>
      <c r="F113" s="89"/>
      <c r="G113" s="90">
        <v>2000</v>
      </c>
      <c r="H113" s="91">
        <v>3</v>
      </c>
      <c r="I113" s="90">
        <f t="shared" si="17"/>
        <v>6000</v>
      </c>
      <c r="J113" s="107">
        <f>I113*1</f>
        <v>6000</v>
      </c>
      <c r="K113" s="92" t="s">
        <v>256</v>
      </c>
      <c r="L113" s="93"/>
    </row>
    <row r="114" spans="1:12">
      <c r="A114" s="84">
        <f t="shared" ref="A114:A126" si="19">ROW()-2</f>
        <v>112</v>
      </c>
      <c r="B114" s="87"/>
      <c r="C114" s="111" t="s">
        <v>27</v>
      </c>
      <c r="D114" s="112" t="s">
        <v>257</v>
      </c>
      <c r="E114" s="88" t="s">
        <v>14</v>
      </c>
      <c r="F114" s="89"/>
      <c r="G114" s="90">
        <v>2000</v>
      </c>
      <c r="H114" s="91">
        <v>0</v>
      </c>
      <c r="I114" s="90">
        <f t="shared" si="17"/>
        <v>0</v>
      </c>
      <c r="J114" s="107">
        <f t="shared" si="18"/>
        <v>0</v>
      </c>
      <c r="K114" s="92" t="s">
        <v>258</v>
      </c>
      <c r="L114" s="93"/>
    </row>
    <row r="115" spans="1:12">
      <c r="A115" s="84">
        <f t="shared" si="19"/>
        <v>113</v>
      </c>
      <c r="B115" s="87"/>
      <c r="C115" s="111" t="s">
        <v>27</v>
      </c>
      <c r="D115" s="112" t="s">
        <v>259</v>
      </c>
      <c r="E115" s="88" t="s">
        <v>14</v>
      </c>
      <c r="F115" s="89"/>
      <c r="G115" s="90">
        <v>8000</v>
      </c>
      <c r="H115" s="91">
        <v>0</v>
      </c>
      <c r="I115" s="90">
        <f t="shared" si="17"/>
        <v>0</v>
      </c>
      <c r="J115" s="107">
        <f t="shared" si="18"/>
        <v>0</v>
      </c>
      <c r="K115" s="92" t="s">
        <v>260</v>
      </c>
      <c r="L115" s="93"/>
    </row>
    <row r="116" spans="1:12">
      <c r="A116" s="84">
        <f t="shared" si="19"/>
        <v>114</v>
      </c>
      <c r="B116" s="132" t="s">
        <v>261</v>
      </c>
      <c r="C116" s="133"/>
      <c r="D116" s="134"/>
      <c r="E116" s="134"/>
      <c r="F116" s="134"/>
      <c r="G116" s="133"/>
      <c r="H116" s="135"/>
      <c r="I116" s="136">
        <f>SUMIF(E3:E115,"产品订阅",I3:I115)</f>
        <v>438400</v>
      </c>
      <c r="J116" s="136">
        <f>SUM(J3:J115)</f>
        <v>3323200</v>
      </c>
      <c r="K116" s="118"/>
      <c r="L116" s="93"/>
    </row>
    <row r="117" spans="1:12">
      <c r="A117" s="84">
        <f t="shared" si="19"/>
        <v>115</v>
      </c>
      <c r="B117" s="132" t="s">
        <v>262</v>
      </c>
      <c r="C117" s="133"/>
      <c r="D117" s="134"/>
      <c r="E117" s="134"/>
      <c r="F117" s="134"/>
      <c r="G117" s="133"/>
      <c r="H117" s="135"/>
      <c r="I117" s="136">
        <f>SUMIF(F3:F115,"√",I3:I115)</f>
        <v>53200</v>
      </c>
      <c r="J117" s="136">
        <f>SUMIF(F3:F115,"√",J3:J115)</f>
        <v>562800</v>
      </c>
      <c r="K117" s="118"/>
      <c r="L117" s="93"/>
    </row>
    <row r="118" spans="1:12">
      <c r="A118" s="84">
        <f t="shared" si="19"/>
        <v>116</v>
      </c>
      <c r="B118" s="87" t="s">
        <v>263</v>
      </c>
      <c r="C118" s="137" t="s">
        <v>2</v>
      </c>
      <c r="D118" s="112" t="s">
        <v>264</v>
      </c>
      <c r="E118" s="88" t="s">
        <v>265</v>
      </c>
      <c r="F118" s="89" t="s">
        <v>15</v>
      </c>
      <c r="G118" s="90">
        <v>0</v>
      </c>
      <c r="H118" s="91">
        <v>50</v>
      </c>
      <c r="I118" s="90">
        <f>G118*H118</f>
        <v>0</v>
      </c>
      <c r="J118" s="90"/>
      <c r="K118" s="92" t="s">
        <v>266</v>
      </c>
      <c r="L118" s="93"/>
    </row>
    <row r="119" spans="1:12">
      <c r="A119" s="84">
        <f t="shared" si="19"/>
        <v>117</v>
      </c>
      <c r="B119" s="87"/>
      <c r="C119" s="137"/>
      <c r="D119" s="112"/>
      <c r="E119" s="88"/>
      <c r="F119" s="89"/>
      <c r="G119" s="90">
        <v>300</v>
      </c>
      <c r="H119" s="91">
        <v>50</v>
      </c>
      <c r="I119" s="90">
        <f>G119*(H119-50)</f>
        <v>0</v>
      </c>
      <c r="J119" s="90"/>
      <c r="K119" s="92" t="s">
        <v>267</v>
      </c>
      <c r="L119" s="93"/>
    </row>
    <row r="120" spans="1:12">
      <c r="A120" s="84">
        <f t="shared" si="19"/>
        <v>118</v>
      </c>
      <c r="B120" s="87"/>
      <c r="C120" s="137"/>
      <c r="D120" s="112"/>
      <c r="E120" s="88"/>
      <c r="F120" s="89"/>
      <c r="G120" s="90">
        <v>150</v>
      </c>
      <c r="H120" s="91">
        <v>100</v>
      </c>
      <c r="I120" s="90">
        <f>G120*(H120-100)</f>
        <v>0</v>
      </c>
      <c r="J120" s="90"/>
      <c r="K120" s="92" t="s">
        <v>268</v>
      </c>
      <c r="L120" s="93"/>
    </row>
    <row r="121" spans="1:12">
      <c r="A121" s="84">
        <f t="shared" si="19"/>
        <v>119</v>
      </c>
      <c r="B121" s="132" t="s">
        <v>269</v>
      </c>
      <c r="C121" s="133"/>
      <c r="D121" s="134"/>
      <c r="E121" s="134"/>
      <c r="F121" s="134"/>
      <c r="G121" s="133"/>
      <c r="H121" s="135"/>
      <c r="I121" s="138">
        <f>SUMIF(F118:F120,"√",I118:I120)</f>
        <v>0</v>
      </c>
      <c r="J121" s="138"/>
      <c r="K121" s="92"/>
      <c r="L121" s="93"/>
    </row>
    <row r="122" spans="1:12">
      <c r="A122" s="84">
        <f t="shared" si="19"/>
        <v>120</v>
      </c>
      <c r="B122" s="108" t="s">
        <v>270</v>
      </c>
      <c r="C122" s="137" t="s">
        <v>2</v>
      </c>
      <c r="D122" s="112" t="s">
        <v>271</v>
      </c>
      <c r="E122" s="137" t="s">
        <v>272</v>
      </c>
      <c r="F122" s="89" t="s">
        <v>15</v>
      </c>
      <c r="G122" s="90">
        <v>0</v>
      </c>
      <c r="H122" s="91">
        <v>1</v>
      </c>
      <c r="I122" s="90">
        <f>G122*H122</f>
        <v>0</v>
      </c>
      <c r="J122" s="90"/>
      <c r="K122" s="92" t="s">
        <v>273</v>
      </c>
      <c r="L122" s="93"/>
    </row>
    <row r="123" spans="1:12">
      <c r="A123" s="84">
        <f t="shared" si="19"/>
        <v>121</v>
      </c>
      <c r="B123" s="108"/>
      <c r="C123" s="137" t="s">
        <v>2</v>
      </c>
      <c r="D123" s="110" t="s">
        <v>274</v>
      </c>
      <c r="E123" s="137" t="s">
        <v>272</v>
      </c>
      <c r="F123" s="89" t="s">
        <v>15</v>
      </c>
      <c r="G123" s="90">
        <v>0</v>
      </c>
      <c r="H123" s="91">
        <v>1</v>
      </c>
      <c r="I123" s="90">
        <f>G123*H123</f>
        <v>0</v>
      </c>
      <c r="J123" s="90"/>
      <c r="K123" s="92" t="s">
        <v>273</v>
      </c>
      <c r="L123" s="93"/>
    </row>
    <row r="124" spans="1:12">
      <c r="A124" s="84">
        <f t="shared" si="19"/>
        <v>122</v>
      </c>
      <c r="B124" s="108"/>
      <c r="C124" s="137" t="s">
        <v>2</v>
      </c>
      <c r="D124" s="110" t="s">
        <v>275</v>
      </c>
      <c r="E124" s="137" t="s">
        <v>272</v>
      </c>
      <c r="F124" s="89" t="s">
        <v>15</v>
      </c>
      <c r="G124" s="90">
        <v>0</v>
      </c>
      <c r="H124" s="91">
        <v>1</v>
      </c>
      <c r="I124" s="90">
        <f>G124*H124</f>
        <v>0</v>
      </c>
      <c r="J124" s="90"/>
      <c r="K124" s="92" t="s">
        <v>273</v>
      </c>
      <c r="L124" s="93"/>
    </row>
    <row r="125" spans="1:12">
      <c r="A125" s="84">
        <f t="shared" si="19"/>
        <v>123</v>
      </c>
      <c r="B125" s="132" t="s">
        <v>276</v>
      </c>
      <c r="C125" s="133"/>
      <c r="D125" s="134"/>
      <c r="E125" s="134"/>
      <c r="F125" s="134"/>
      <c r="G125" s="133"/>
      <c r="H125" s="135"/>
      <c r="I125" s="138">
        <f>SUMIF(F122:F124,"√",I122:I124)</f>
        <v>0</v>
      </c>
      <c r="J125" s="138"/>
      <c r="K125" s="118"/>
      <c r="L125" s="93"/>
    </row>
    <row r="126" spans="1:12">
      <c r="A126" s="84">
        <f t="shared" si="19"/>
        <v>124</v>
      </c>
      <c r="B126" s="132" t="s">
        <v>277</v>
      </c>
      <c r="C126" s="133"/>
      <c r="D126" s="134"/>
      <c r="E126" s="134"/>
      <c r="F126" s="134"/>
      <c r="G126" s="133"/>
      <c r="H126" s="135"/>
      <c r="I126" s="126">
        <f>I117+I121+I125</f>
        <v>53200</v>
      </c>
      <c r="J126" s="126"/>
      <c r="K126" s="118"/>
      <c r="L126" s="93"/>
    </row>
    <row r="127" spans="1:12">
      <c r="A127" s="70"/>
      <c r="B127" s="71"/>
      <c r="C127" s="72"/>
      <c r="D127" s="73"/>
      <c r="E127" s="73"/>
      <c r="F127" s="73"/>
      <c r="G127" s="74"/>
      <c r="H127" s="75"/>
      <c r="I127" s="74"/>
      <c r="J127" s="74"/>
    </row>
    <row r="128" spans="1:12">
      <c r="A128" s="70"/>
      <c r="B128" s="71"/>
      <c r="C128" s="72"/>
      <c r="D128" s="73"/>
      <c r="E128" s="73"/>
      <c r="F128" s="73"/>
      <c r="G128" s="74"/>
      <c r="H128" s="75"/>
      <c r="I128" s="74"/>
      <c r="J128" s="74"/>
    </row>
    <row r="129" spans="1:10">
      <c r="A129" s="70"/>
      <c r="B129" s="71"/>
      <c r="C129" s="72"/>
      <c r="D129" s="73"/>
      <c r="E129" s="73"/>
      <c r="F129" s="73"/>
      <c r="G129" s="74"/>
      <c r="H129" s="75"/>
      <c r="I129" s="74"/>
      <c r="J129" s="74"/>
    </row>
    <row r="131" spans="1:10">
      <c r="A131" s="76"/>
      <c r="B131" s="77"/>
    </row>
    <row r="132" spans="1:10">
      <c r="A132" s="78"/>
      <c r="B132" s="79"/>
    </row>
    <row r="133" spans="1:10">
      <c r="A133" s="78"/>
      <c r="B133" s="76"/>
    </row>
    <row r="134" spans="1:10">
      <c r="A134" s="78"/>
      <c r="B134" s="76"/>
    </row>
    <row r="135" spans="1:10">
      <c r="A135" s="78"/>
      <c r="B135" s="76"/>
    </row>
  </sheetData>
  <sheetProtection formatCells="0" insertHyperlinks="0" autoFilter="0"/>
  <autoFilter xmlns:etc="http://www.wps.cn/officeDocument/2017/etCustomData" ref="A2:K126" etc:filterBottomFollowUsedRange="0">
    <extLst/>
  </autoFilter>
  <mergeCells count="105">
    <mergeCell ref="B116:H116"/>
    <mergeCell ref="B117:H117"/>
    <mergeCell ref="B121:H121"/>
    <mergeCell ref="B125:H125"/>
    <mergeCell ref="B126:H126"/>
    <mergeCell ref="A1:A2"/>
    <mergeCell ref="B1:B2"/>
    <mergeCell ref="B3:B9"/>
    <mergeCell ref="B10:B17"/>
    <mergeCell ref="B18:B22"/>
    <mergeCell ref="B23:B48"/>
    <mergeCell ref="B49:B62"/>
    <mergeCell ref="B63:B66"/>
    <mergeCell ref="B67:B78"/>
    <mergeCell ref="B79:B85"/>
    <mergeCell ref="B86:B87"/>
    <mergeCell ref="B88:B91"/>
    <mergeCell ref="B92:B102"/>
    <mergeCell ref="B103:B104"/>
    <mergeCell ref="B105:B108"/>
    <mergeCell ref="B109:B110"/>
    <mergeCell ref="B111:B112"/>
    <mergeCell ref="B113:B115"/>
    <mergeCell ref="B118:B120"/>
    <mergeCell ref="B122:B124"/>
    <mergeCell ref="C1:C2"/>
    <mergeCell ref="C3:C6"/>
    <mergeCell ref="C7:C8"/>
    <mergeCell ref="C12:C16"/>
    <mergeCell ref="C19:C20"/>
    <mergeCell ref="C43:C46"/>
    <mergeCell ref="C49:C53"/>
    <mergeCell ref="C54:C62"/>
    <mergeCell ref="C63:C66"/>
    <mergeCell ref="C67:C73"/>
    <mergeCell ref="C74:C78"/>
    <mergeCell ref="C79:C85"/>
    <mergeCell ref="C86:C87"/>
    <mergeCell ref="C88:C91"/>
    <mergeCell ref="C92:C102"/>
    <mergeCell ref="C103:C104"/>
    <mergeCell ref="C105:C108"/>
    <mergeCell ref="C118:C120"/>
    <mergeCell ref="D1:D2"/>
    <mergeCell ref="D118:D120"/>
    <mergeCell ref="E1:E2"/>
    <mergeCell ref="E118:E120"/>
    <mergeCell ref="F1:F2"/>
    <mergeCell ref="F79:F84"/>
    <mergeCell ref="G1:G2"/>
    <mergeCell ref="G3:G6"/>
    <mergeCell ref="G7:G8"/>
    <mergeCell ref="G12:G16"/>
    <mergeCell ref="G19:G22"/>
    <mergeCell ref="G49:G53"/>
    <mergeCell ref="G54:G62"/>
    <mergeCell ref="G63:G66"/>
    <mergeCell ref="G67:G73"/>
    <mergeCell ref="G74:G78"/>
    <mergeCell ref="G79:G84"/>
    <mergeCell ref="G92:G102"/>
    <mergeCell ref="G105:G108"/>
    <mergeCell ref="H1:H2"/>
    <mergeCell ref="H3:H6"/>
    <mergeCell ref="H7:H8"/>
    <mergeCell ref="H12:H16"/>
    <mergeCell ref="H19:H22"/>
    <mergeCell ref="H49:H53"/>
    <mergeCell ref="H54:H62"/>
    <mergeCell ref="H63:H66"/>
    <mergeCell ref="H67:H73"/>
    <mergeCell ref="H74:H78"/>
    <mergeCell ref="H79:H84"/>
    <mergeCell ref="H92:H102"/>
    <mergeCell ref="H105:H108"/>
    <mergeCell ref="I1:I2"/>
    <mergeCell ref="I3:I6"/>
    <mergeCell ref="I7:I8"/>
    <mergeCell ref="I12:I16"/>
    <mergeCell ref="I19:I22"/>
    <mergeCell ref="I49:I53"/>
    <mergeCell ref="I54:I62"/>
    <mergeCell ref="I63:I66"/>
    <mergeCell ref="I67:I73"/>
    <mergeCell ref="I74:I78"/>
    <mergeCell ref="I79:I84"/>
    <mergeCell ref="I92:I102"/>
    <mergeCell ref="I105:I108"/>
    <mergeCell ref="J1:J2"/>
    <mergeCell ref="J3:J8"/>
    <mergeCell ref="J12:J16"/>
    <mergeCell ref="J19:J22"/>
    <mergeCell ref="J49:J53"/>
    <mergeCell ref="J54:J62"/>
    <mergeCell ref="J63:J66"/>
    <mergeCell ref="J67:J73"/>
    <mergeCell ref="J74:J78"/>
    <mergeCell ref="J79:J84"/>
    <mergeCell ref="J92:J102"/>
    <mergeCell ref="J105:J108"/>
    <mergeCell ref="J111:J112"/>
    <mergeCell ref="K1:K2"/>
    <mergeCell ref="L1:L2"/>
    <mergeCell ref="L79:L84"/>
    <mergeCell ref="M10:M17"/>
  </mergeCells>
  <dataValidations count="1">
    <dataValidation type="list" allowBlank="1" showErrorMessage="1" errorTitle="错误提示" error="请输入下拉列表中的值" sqref="F3:F115 F118:F120 F122:F124">
      <formula1>"√"</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27"/>
  <sheetViews>
    <sheetView zoomScale="90" zoomScaleNormal="90" topLeftCell="A73" workbookViewId="0">
      <selection activeCell="K94" sqref="K94:K104"/>
    </sheetView>
  </sheetViews>
  <sheetFormatPr defaultColWidth="9" defaultRowHeight="14.1"/>
  <cols>
    <col min="1" max="2" width="8.33333333333333" style="2" customWidth="1"/>
    <col min="3" max="3" width="22.7837837837838" style="3" customWidth="1"/>
    <col min="4" max="4" width="8.10810810810811" style="2" customWidth="1"/>
    <col min="5" max="5" width="23.2612612612613" style="1" customWidth="1"/>
    <col min="6" max="6" width="14.6756756756757" style="2" customWidth="1"/>
    <col min="7" max="7" width="6.45945945945946" style="2" customWidth="1"/>
    <col min="8" max="8" width="13.4414414414414" style="2" customWidth="1"/>
    <col min="9" max="9" width="8.5045045045045" style="4" customWidth="1"/>
    <col min="10" max="10" width="14.6756756756757" style="2" customWidth="1"/>
    <col min="11" max="11" width="16.6666666666667" style="2" customWidth="1"/>
    <col min="12" max="12" width="74.7567567567568" style="5" customWidth="1"/>
    <col min="13" max="13" width="57.5045045045045" style="1" customWidth="1"/>
    <col min="14" max="16384" width="9" style="1"/>
  </cols>
  <sheetData>
    <row r="1" s="1" customFormat="1" ht="13.5" customHeight="1" spans="1:13">
      <c r="A1" s="6" t="s">
        <v>0</v>
      </c>
      <c r="B1" s="6" t="s">
        <v>278</v>
      </c>
      <c r="C1" s="6" t="s">
        <v>1</v>
      </c>
      <c r="D1" s="6" t="s">
        <v>2</v>
      </c>
      <c r="E1" s="6" t="s">
        <v>3</v>
      </c>
      <c r="F1" s="6" t="s">
        <v>4</v>
      </c>
      <c r="G1" s="6" t="s">
        <v>5</v>
      </c>
      <c r="H1" s="6" t="s">
        <v>6</v>
      </c>
      <c r="I1" s="7" t="s">
        <v>7</v>
      </c>
      <c r="J1" s="6" t="s">
        <v>8</v>
      </c>
      <c r="K1" s="6" t="s">
        <v>9</v>
      </c>
      <c r="L1" s="7" t="s">
        <v>10</v>
      </c>
    </row>
    <row r="2" s="1" customFormat="1" ht="13.5" customHeight="1" spans="1:13">
      <c r="A2" s="8"/>
      <c r="B2" s="8"/>
      <c r="C2" s="8"/>
      <c r="D2" s="8"/>
      <c r="E2" s="8"/>
      <c r="F2" s="8"/>
      <c r="G2" s="8"/>
      <c r="H2" s="8"/>
      <c r="I2" s="9"/>
      <c r="J2" s="8"/>
      <c r="K2" s="8"/>
      <c r="L2" s="9"/>
    </row>
    <row r="3" s="1" customFormat="1" spans="1:13">
      <c r="A3" s="10">
        <f t="shared" ref="A3:A48" si="0">ROW()-2</f>
        <v>1</v>
      </c>
      <c r="B3" s="11" t="s">
        <v>279</v>
      </c>
      <c r="C3" s="12" t="s">
        <v>12</v>
      </c>
      <c r="D3" s="13" t="s">
        <v>2</v>
      </c>
      <c r="E3" s="12" t="s">
        <v>13</v>
      </c>
      <c r="F3" s="14" t="s">
        <v>14</v>
      </c>
      <c r="G3" s="15" t="s">
        <v>15</v>
      </c>
      <c r="H3" s="16">
        <v>6000</v>
      </c>
      <c r="I3" s="17">
        <v>1</v>
      </c>
      <c r="J3" s="16">
        <f>H3*I3</f>
        <v>6000</v>
      </c>
      <c r="K3" s="16">
        <f>J3*5</f>
        <v>30000</v>
      </c>
      <c r="L3" s="18" t="s">
        <v>16</v>
      </c>
    </row>
    <row r="4" s="1" customFormat="1" ht="13.5" customHeight="1" spans="1:13">
      <c r="A4" s="10">
        <f t="shared" si="0"/>
        <v>2</v>
      </c>
      <c r="B4" s="11"/>
      <c r="C4" s="12"/>
      <c r="D4" s="13"/>
      <c r="E4" s="12" t="s">
        <v>17</v>
      </c>
      <c r="F4" s="14" t="s">
        <v>14</v>
      </c>
      <c r="G4" s="15" t="s">
        <v>15</v>
      </c>
      <c r="H4" s="19"/>
      <c r="I4" s="20"/>
      <c r="J4" s="19"/>
      <c r="K4" s="16"/>
      <c r="L4" s="18" t="s">
        <v>18</v>
      </c>
    </row>
    <row r="5" s="1" customFormat="1" ht="24.85" spans="1:13">
      <c r="A5" s="10">
        <f t="shared" si="0"/>
        <v>3</v>
      </c>
      <c r="B5" s="11"/>
      <c r="C5" s="12"/>
      <c r="D5" s="13"/>
      <c r="E5" s="12" t="s">
        <v>19</v>
      </c>
      <c r="F5" s="14" t="s">
        <v>14</v>
      </c>
      <c r="G5" s="15" t="s">
        <v>15</v>
      </c>
      <c r="H5" s="19"/>
      <c r="I5" s="20"/>
      <c r="J5" s="19"/>
      <c r="K5" s="16"/>
      <c r="L5" s="18" t="s">
        <v>20</v>
      </c>
    </row>
    <row r="6" s="1" customFormat="1" spans="1:13">
      <c r="A6" s="10">
        <f t="shared" si="0"/>
        <v>4</v>
      </c>
      <c r="B6" s="11"/>
      <c r="C6" s="12"/>
      <c r="D6" s="13"/>
      <c r="E6" s="12" t="s">
        <v>21</v>
      </c>
      <c r="F6" s="14" t="s">
        <v>14</v>
      </c>
      <c r="G6" s="15" t="s">
        <v>15</v>
      </c>
      <c r="H6" s="19"/>
      <c r="I6" s="20"/>
      <c r="J6" s="19"/>
      <c r="K6" s="16"/>
      <c r="L6" s="18" t="s">
        <v>22</v>
      </c>
    </row>
    <row r="7" s="1" customFormat="1" ht="24.85" spans="1:13">
      <c r="A7" s="10">
        <f t="shared" si="0"/>
        <v>5</v>
      </c>
      <c r="B7" s="11"/>
      <c r="C7" s="12"/>
      <c r="D7" s="21" t="s">
        <v>2</v>
      </c>
      <c r="E7" s="12" t="s">
        <v>23</v>
      </c>
      <c r="F7" s="14" t="s">
        <v>14</v>
      </c>
      <c r="G7" s="15" t="s">
        <v>15</v>
      </c>
      <c r="H7" s="16">
        <v>2800</v>
      </c>
      <c r="I7" s="17">
        <v>1</v>
      </c>
      <c r="J7" s="16">
        <f>H7*I7</f>
        <v>2800</v>
      </c>
      <c r="K7" s="16"/>
      <c r="L7" s="18" t="s">
        <v>24</v>
      </c>
    </row>
    <row r="8" s="1" customFormat="1" ht="24.85" spans="1:13">
      <c r="A8" s="10">
        <f t="shared" si="0"/>
        <v>6</v>
      </c>
      <c r="B8" s="11"/>
      <c r="C8" s="12"/>
      <c r="D8" s="21"/>
      <c r="E8" s="12" t="s">
        <v>25</v>
      </c>
      <c r="F8" s="14" t="s">
        <v>14</v>
      </c>
      <c r="G8" s="15" t="s">
        <v>15</v>
      </c>
      <c r="H8" s="16"/>
      <c r="I8" s="17"/>
      <c r="J8" s="16"/>
      <c r="K8" s="16"/>
      <c r="L8" s="18" t="s">
        <v>26</v>
      </c>
    </row>
    <row r="9" s="1" customFormat="1" ht="24.85" spans="1:13">
      <c r="A9" s="10">
        <f t="shared" si="0"/>
        <v>7</v>
      </c>
      <c r="B9" s="11"/>
      <c r="C9" s="22" t="s">
        <v>280</v>
      </c>
      <c r="D9" s="23" t="s">
        <v>27</v>
      </c>
      <c r="E9" s="22"/>
      <c r="F9" s="14" t="s">
        <v>14</v>
      </c>
      <c r="G9" s="15"/>
      <c r="H9" s="24">
        <v>12000</v>
      </c>
      <c r="I9" s="25">
        <v>1</v>
      </c>
      <c r="J9" s="24">
        <f>H9*I9</f>
        <v>12000</v>
      </c>
      <c r="K9" s="16">
        <v>48000</v>
      </c>
      <c r="L9" s="26" t="s">
        <v>29</v>
      </c>
    </row>
    <row r="10" s="1" customFormat="1" ht="37.3" spans="1:13">
      <c r="A10" s="10">
        <f t="shared" si="0"/>
        <v>8</v>
      </c>
      <c r="B10" s="11"/>
      <c r="C10" s="12" t="s">
        <v>30</v>
      </c>
      <c r="D10" s="21" t="s">
        <v>2</v>
      </c>
      <c r="E10" s="12" t="s">
        <v>31</v>
      </c>
      <c r="F10" s="14" t="s">
        <v>14</v>
      </c>
      <c r="G10" s="15" t="s">
        <v>15</v>
      </c>
      <c r="H10" s="16">
        <v>2800</v>
      </c>
      <c r="I10" s="17">
        <v>1</v>
      </c>
      <c r="J10" s="16">
        <f>H10*I10</f>
        <v>2800</v>
      </c>
      <c r="K10" s="16">
        <f>J10*12</f>
        <v>33600</v>
      </c>
      <c r="L10" s="18" t="s">
        <v>32</v>
      </c>
      <c r="M10" s="27"/>
    </row>
    <row r="11" s="1" customFormat="1" ht="24.85" spans="1:13">
      <c r="A11" s="10">
        <f t="shared" si="0"/>
        <v>9</v>
      </c>
      <c r="B11" s="11"/>
      <c r="C11" s="28"/>
      <c r="D11" s="21" t="s">
        <v>2</v>
      </c>
      <c r="E11" s="12" t="s">
        <v>35</v>
      </c>
      <c r="F11" s="14" t="s">
        <v>14</v>
      </c>
      <c r="G11" s="15" t="s">
        <v>15</v>
      </c>
      <c r="H11" s="16">
        <v>2800</v>
      </c>
      <c r="I11" s="17">
        <v>1</v>
      </c>
      <c r="J11" s="16">
        <f>H11*I11</f>
        <v>2800</v>
      </c>
      <c r="K11" s="16">
        <f>J11*12</f>
        <v>33600</v>
      </c>
      <c r="L11" s="18" t="s">
        <v>36</v>
      </c>
      <c r="M11" s="29"/>
    </row>
    <row r="12" s="1" customFormat="1" ht="24.85" spans="1:13">
      <c r="A12" s="10">
        <f t="shared" si="0"/>
        <v>10</v>
      </c>
      <c r="B12" s="11"/>
      <c r="C12" s="28"/>
      <c r="D12" s="21"/>
      <c r="E12" s="12" t="s">
        <v>281</v>
      </c>
      <c r="F12" s="14" t="s">
        <v>14</v>
      </c>
      <c r="G12" s="15" t="s">
        <v>15</v>
      </c>
      <c r="H12" s="16"/>
      <c r="I12" s="17"/>
      <c r="J12" s="16"/>
      <c r="K12" s="16"/>
      <c r="L12" s="18" t="s">
        <v>40</v>
      </c>
      <c r="M12" s="29"/>
    </row>
    <row r="13" s="1" customFormat="1" spans="1:13">
      <c r="A13" s="10">
        <f t="shared" si="0"/>
        <v>11</v>
      </c>
      <c r="B13" s="11"/>
      <c r="C13" s="28"/>
      <c r="D13" s="21"/>
      <c r="E13" s="12" t="s">
        <v>41</v>
      </c>
      <c r="F13" s="14" t="s">
        <v>14</v>
      </c>
      <c r="G13" s="15" t="s">
        <v>15</v>
      </c>
      <c r="H13" s="16"/>
      <c r="I13" s="17"/>
      <c r="J13" s="16"/>
      <c r="K13" s="16"/>
      <c r="L13" s="18" t="s">
        <v>42</v>
      </c>
      <c r="M13" s="29"/>
    </row>
    <row r="14" s="1" customFormat="1" spans="1:13">
      <c r="A14" s="10">
        <f t="shared" si="0"/>
        <v>12</v>
      </c>
      <c r="B14" s="11"/>
      <c r="C14" s="28"/>
      <c r="D14" s="21"/>
      <c r="E14" s="12" t="s">
        <v>43</v>
      </c>
      <c r="F14" s="14" t="s">
        <v>14</v>
      </c>
      <c r="G14" s="15" t="s">
        <v>15</v>
      </c>
      <c r="H14" s="16"/>
      <c r="I14" s="17"/>
      <c r="J14" s="16"/>
      <c r="K14" s="16"/>
      <c r="L14" s="18" t="s">
        <v>44</v>
      </c>
      <c r="M14" s="29"/>
    </row>
    <row r="15" s="1" customFormat="1" ht="24.85" spans="1:13">
      <c r="A15" s="10">
        <f t="shared" si="0"/>
        <v>13</v>
      </c>
      <c r="B15" s="11"/>
      <c r="C15" s="28"/>
      <c r="D15" s="23" t="s">
        <v>27</v>
      </c>
      <c r="E15" s="12" t="s">
        <v>45</v>
      </c>
      <c r="F15" s="14" t="s">
        <v>14</v>
      </c>
      <c r="G15" s="15"/>
      <c r="H15" s="16">
        <v>1200</v>
      </c>
      <c r="I15" s="17">
        <v>1</v>
      </c>
      <c r="J15" s="30">
        <f>H15*I15</f>
        <v>1200</v>
      </c>
      <c r="K15" s="30">
        <f>J15*12</f>
        <v>14400</v>
      </c>
      <c r="L15" s="18" t="s">
        <v>46</v>
      </c>
      <c r="M15" s="29"/>
    </row>
    <row r="16" s="1" customFormat="1" spans="1:13">
      <c r="A16" s="10">
        <f t="shared" si="0"/>
        <v>14</v>
      </c>
      <c r="B16" s="11"/>
      <c r="C16" s="31" t="s">
        <v>206</v>
      </c>
      <c r="D16" s="32" t="s">
        <v>2</v>
      </c>
      <c r="E16" s="33" t="s">
        <v>207</v>
      </c>
      <c r="F16" s="14" t="s">
        <v>14</v>
      </c>
      <c r="G16" s="15" t="s">
        <v>15</v>
      </c>
      <c r="H16" s="34">
        <v>6800</v>
      </c>
      <c r="I16" s="20">
        <v>1</v>
      </c>
      <c r="J16" s="34">
        <f>H16*I16</f>
        <v>6800</v>
      </c>
      <c r="K16" s="30">
        <f>J16*12</f>
        <v>81600</v>
      </c>
      <c r="L16" s="18" t="s">
        <v>208</v>
      </c>
    </row>
    <row r="17" s="1" customFormat="1" spans="1:12">
      <c r="A17" s="10">
        <f t="shared" si="0"/>
        <v>15</v>
      </c>
      <c r="B17" s="11"/>
      <c r="C17" s="31"/>
      <c r="D17" s="32"/>
      <c r="E17" s="33" t="s">
        <v>209</v>
      </c>
      <c r="F17" s="14" t="s">
        <v>14</v>
      </c>
      <c r="G17" s="15" t="s">
        <v>15</v>
      </c>
      <c r="H17" s="34"/>
      <c r="I17" s="20"/>
      <c r="J17" s="34"/>
      <c r="K17" s="30"/>
      <c r="L17" s="18" t="s">
        <v>210</v>
      </c>
    </row>
    <row r="18" s="1" customFormat="1" ht="24.85" spans="1:12">
      <c r="A18" s="10">
        <f t="shared" si="0"/>
        <v>16</v>
      </c>
      <c r="B18" s="11"/>
      <c r="C18" s="31"/>
      <c r="D18" s="35"/>
      <c r="E18" s="33" t="s">
        <v>211</v>
      </c>
      <c r="F18" s="14" t="s">
        <v>14</v>
      </c>
      <c r="G18" s="15" t="s">
        <v>15</v>
      </c>
      <c r="H18" s="36"/>
      <c r="I18" s="37"/>
      <c r="J18" s="36"/>
      <c r="K18" s="30"/>
      <c r="L18" s="18" t="s">
        <v>212</v>
      </c>
    </row>
    <row r="19" s="1" customFormat="1" spans="1:12">
      <c r="A19" s="10">
        <f t="shared" si="0"/>
        <v>17</v>
      </c>
      <c r="B19" s="11"/>
      <c r="C19" s="31"/>
      <c r="D19" s="32"/>
      <c r="E19" s="33" t="s">
        <v>213</v>
      </c>
      <c r="F19" s="14" t="s">
        <v>14</v>
      </c>
      <c r="G19" s="15" t="s">
        <v>15</v>
      </c>
      <c r="H19" s="34"/>
      <c r="I19" s="20"/>
      <c r="J19" s="34"/>
      <c r="K19" s="30"/>
      <c r="L19" s="18" t="s">
        <v>214</v>
      </c>
    </row>
    <row r="20" s="1" customFormat="1" ht="24.85" spans="1:12">
      <c r="A20" s="10">
        <f t="shared" si="0"/>
        <v>18</v>
      </c>
      <c r="B20" s="11"/>
      <c r="C20" s="31"/>
      <c r="D20" s="32"/>
      <c r="E20" s="33" t="s">
        <v>215</v>
      </c>
      <c r="F20" s="14" t="s">
        <v>14</v>
      </c>
      <c r="G20" s="15" t="s">
        <v>15</v>
      </c>
      <c r="H20" s="34"/>
      <c r="I20" s="20"/>
      <c r="J20" s="34"/>
      <c r="K20" s="30"/>
      <c r="L20" s="18" t="s">
        <v>216</v>
      </c>
    </row>
    <row r="21" s="1" customFormat="1" spans="1:12">
      <c r="A21" s="10">
        <f t="shared" si="0"/>
        <v>19</v>
      </c>
      <c r="B21" s="11"/>
      <c r="C21" s="31"/>
      <c r="D21" s="32"/>
      <c r="E21" s="33" t="s">
        <v>217</v>
      </c>
      <c r="F21" s="14" t="s">
        <v>14</v>
      </c>
      <c r="G21" s="15" t="s">
        <v>15</v>
      </c>
      <c r="H21" s="34"/>
      <c r="I21" s="20"/>
      <c r="J21" s="34"/>
      <c r="K21" s="30"/>
      <c r="L21" s="18" t="s">
        <v>218</v>
      </c>
    </row>
    <row r="22" s="1" customFormat="1" spans="1:12">
      <c r="A22" s="10">
        <f t="shared" si="0"/>
        <v>20</v>
      </c>
      <c r="B22" s="11"/>
      <c r="C22" s="31"/>
      <c r="D22" s="32"/>
      <c r="E22" s="33" t="s">
        <v>219</v>
      </c>
      <c r="F22" s="14" t="s">
        <v>14</v>
      </c>
      <c r="G22" s="15" t="s">
        <v>15</v>
      </c>
      <c r="H22" s="34"/>
      <c r="I22" s="20"/>
      <c r="J22" s="34"/>
      <c r="K22" s="30"/>
      <c r="L22" s="18" t="s">
        <v>220</v>
      </c>
    </row>
    <row r="23" s="1" customFormat="1" spans="1:12">
      <c r="A23" s="10">
        <f t="shared" si="0"/>
        <v>21</v>
      </c>
      <c r="B23" s="11"/>
      <c r="C23" s="31"/>
      <c r="D23" s="32"/>
      <c r="E23" s="33" t="s">
        <v>221</v>
      </c>
      <c r="F23" s="14" t="s">
        <v>14</v>
      </c>
      <c r="G23" s="15" t="s">
        <v>15</v>
      </c>
      <c r="H23" s="34"/>
      <c r="I23" s="20"/>
      <c r="J23" s="34"/>
      <c r="K23" s="30"/>
      <c r="L23" s="18" t="s">
        <v>222</v>
      </c>
    </row>
    <row r="24" s="1" customFormat="1" spans="1:12">
      <c r="A24" s="10">
        <f t="shared" si="0"/>
        <v>22</v>
      </c>
      <c r="B24" s="11"/>
      <c r="C24" s="31"/>
      <c r="D24" s="32"/>
      <c r="E24" s="33" t="s">
        <v>223</v>
      </c>
      <c r="F24" s="14" t="s">
        <v>14</v>
      </c>
      <c r="G24" s="15" t="s">
        <v>15</v>
      </c>
      <c r="H24" s="34"/>
      <c r="I24" s="20"/>
      <c r="J24" s="34"/>
      <c r="K24" s="30"/>
      <c r="L24" s="18" t="s">
        <v>224</v>
      </c>
    </row>
    <row r="25" s="1" customFormat="1" spans="1:12">
      <c r="A25" s="10">
        <f t="shared" si="0"/>
        <v>23</v>
      </c>
      <c r="B25" s="11"/>
      <c r="C25" s="31"/>
      <c r="D25" s="32"/>
      <c r="E25" s="38" t="s">
        <v>225</v>
      </c>
      <c r="F25" s="14" t="s">
        <v>14</v>
      </c>
      <c r="G25" s="15" t="s">
        <v>15</v>
      </c>
      <c r="H25" s="34"/>
      <c r="I25" s="20"/>
      <c r="J25" s="34"/>
      <c r="K25" s="30"/>
      <c r="L25" s="18" t="s">
        <v>226</v>
      </c>
    </row>
    <row r="26" s="1" customFormat="1" spans="1:12">
      <c r="A26" s="10">
        <f t="shared" si="0"/>
        <v>24</v>
      </c>
      <c r="B26" s="11"/>
      <c r="C26" s="31"/>
      <c r="D26" s="32"/>
      <c r="E26" s="33" t="s">
        <v>227</v>
      </c>
      <c r="F26" s="14" t="s">
        <v>14</v>
      </c>
      <c r="G26" s="15" t="s">
        <v>15</v>
      </c>
      <c r="H26" s="34"/>
      <c r="I26" s="20"/>
      <c r="J26" s="34"/>
      <c r="K26" s="30"/>
      <c r="L26" s="18" t="s">
        <v>228</v>
      </c>
    </row>
    <row r="27" s="1" customFormat="1" ht="24.85" spans="1:12">
      <c r="A27" s="10">
        <f t="shared" si="0"/>
        <v>25</v>
      </c>
      <c r="B27" s="11"/>
      <c r="C27" s="12" t="s">
        <v>151</v>
      </c>
      <c r="D27" s="21" t="s">
        <v>2</v>
      </c>
      <c r="E27" s="33" t="s">
        <v>152</v>
      </c>
      <c r="F27" s="14" t="s">
        <v>14</v>
      </c>
      <c r="G27" s="15" t="s">
        <v>15</v>
      </c>
      <c r="H27" s="16">
        <v>3000</v>
      </c>
      <c r="I27" s="17">
        <v>1</v>
      </c>
      <c r="J27" s="16">
        <f>H27*I27</f>
        <v>3000</v>
      </c>
      <c r="K27" s="30">
        <f>J27*12</f>
        <v>36000</v>
      </c>
      <c r="L27" s="18" t="s">
        <v>153</v>
      </c>
    </row>
    <row r="28" s="1" customFormat="1" spans="1:12">
      <c r="A28" s="10">
        <f t="shared" si="0"/>
        <v>26</v>
      </c>
      <c r="B28" s="11"/>
      <c r="C28" s="12"/>
      <c r="D28" s="21"/>
      <c r="E28" s="38" t="s">
        <v>154</v>
      </c>
      <c r="F28" s="14" t="s">
        <v>14</v>
      </c>
      <c r="G28" s="15" t="s">
        <v>15</v>
      </c>
      <c r="H28" s="16"/>
      <c r="I28" s="17"/>
      <c r="J28" s="16"/>
      <c r="K28" s="30"/>
      <c r="L28" s="18" t="s">
        <v>155</v>
      </c>
    </row>
    <row r="29" s="1" customFormat="1" ht="24.85" spans="1:12">
      <c r="A29" s="10">
        <f t="shared" si="0"/>
        <v>27</v>
      </c>
      <c r="B29" s="11"/>
      <c r="C29" s="12"/>
      <c r="D29" s="21"/>
      <c r="E29" s="38" t="s">
        <v>156</v>
      </c>
      <c r="F29" s="14" t="s">
        <v>14</v>
      </c>
      <c r="G29" s="15" t="s">
        <v>15</v>
      </c>
      <c r="H29" s="16"/>
      <c r="I29" s="17"/>
      <c r="J29" s="16"/>
      <c r="K29" s="30"/>
      <c r="L29" s="18" t="s">
        <v>157</v>
      </c>
    </row>
    <row r="30" s="1" customFormat="1" ht="24.85" spans="1:12">
      <c r="A30" s="10">
        <f t="shared" si="0"/>
        <v>28</v>
      </c>
      <c r="B30" s="11"/>
      <c r="C30" s="12"/>
      <c r="D30" s="21"/>
      <c r="E30" s="38" t="s">
        <v>158</v>
      </c>
      <c r="F30" s="14" t="s">
        <v>14</v>
      </c>
      <c r="G30" s="15" t="s">
        <v>15</v>
      </c>
      <c r="H30" s="16"/>
      <c r="I30" s="17"/>
      <c r="J30" s="16"/>
      <c r="K30" s="30"/>
      <c r="L30" s="18" t="s">
        <v>159</v>
      </c>
    </row>
    <row r="31" s="1" customFormat="1" ht="24.85" spans="1:12">
      <c r="A31" s="10">
        <f t="shared" si="0"/>
        <v>29</v>
      </c>
      <c r="B31" s="11"/>
      <c r="C31" s="12"/>
      <c r="D31" s="21"/>
      <c r="E31" s="38" t="s">
        <v>160</v>
      </c>
      <c r="F31" s="14" t="s">
        <v>14</v>
      </c>
      <c r="G31" s="15" t="s">
        <v>15</v>
      </c>
      <c r="H31" s="16"/>
      <c r="I31" s="17"/>
      <c r="J31" s="16"/>
      <c r="K31" s="30"/>
      <c r="L31" s="18" t="s">
        <v>161</v>
      </c>
    </row>
    <row r="32" s="1" customFormat="1" spans="1:12">
      <c r="A32" s="10">
        <f t="shared" si="0"/>
        <v>30</v>
      </c>
      <c r="B32" s="11"/>
      <c r="C32" s="12"/>
      <c r="D32" s="21"/>
      <c r="E32" s="38" t="s">
        <v>162</v>
      </c>
      <c r="F32" s="14" t="s">
        <v>14</v>
      </c>
      <c r="G32" s="15" t="s">
        <v>15</v>
      </c>
      <c r="H32" s="16"/>
      <c r="I32" s="17"/>
      <c r="J32" s="16"/>
      <c r="K32" s="30"/>
      <c r="L32" s="18" t="s">
        <v>163</v>
      </c>
    </row>
    <row r="33" s="1" customFormat="1" spans="1:12">
      <c r="A33" s="10">
        <f t="shared" si="0"/>
        <v>31</v>
      </c>
      <c r="B33" s="11"/>
      <c r="C33" s="12"/>
      <c r="D33" s="21"/>
      <c r="E33" s="38" t="s">
        <v>164</v>
      </c>
      <c r="F33" s="14" t="s">
        <v>14</v>
      </c>
      <c r="G33" s="15" t="s">
        <v>15</v>
      </c>
      <c r="H33" s="16"/>
      <c r="I33" s="17"/>
      <c r="J33" s="16"/>
      <c r="K33" s="30"/>
      <c r="L33" s="18" t="s">
        <v>165</v>
      </c>
    </row>
    <row r="34" s="1" customFormat="1" spans="1:12">
      <c r="A34" s="10">
        <f t="shared" si="0"/>
        <v>32</v>
      </c>
      <c r="B34" s="11"/>
      <c r="C34" s="12" t="s">
        <v>243</v>
      </c>
      <c r="D34" s="39" t="s">
        <v>27</v>
      </c>
      <c r="E34" s="38" t="s">
        <v>244</v>
      </c>
      <c r="F34" s="14" t="s">
        <v>14</v>
      </c>
      <c r="G34" s="15"/>
      <c r="H34" s="16">
        <v>2000</v>
      </c>
      <c r="I34" s="17">
        <v>10</v>
      </c>
      <c r="J34" s="16">
        <f t="shared" ref="J34:J45" si="1">H34*I34</f>
        <v>20000</v>
      </c>
      <c r="K34" s="30">
        <f>J34*1</f>
        <v>20000</v>
      </c>
      <c r="L34" s="18" t="s">
        <v>245</v>
      </c>
    </row>
    <row r="35" s="1" customFormat="1" spans="1:12">
      <c r="A35" s="10">
        <f t="shared" si="0"/>
        <v>33</v>
      </c>
      <c r="B35" s="11"/>
      <c r="C35" s="40"/>
      <c r="D35" s="39" t="s">
        <v>27</v>
      </c>
      <c r="E35" s="38" t="s">
        <v>246</v>
      </c>
      <c r="F35" s="14" t="s">
        <v>14</v>
      </c>
      <c r="G35" s="15"/>
      <c r="H35" s="16">
        <v>6000</v>
      </c>
      <c r="I35" s="17">
        <v>0</v>
      </c>
      <c r="J35" s="16">
        <f t="shared" si="1"/>
        <v>0</v>
      </c>
      <c r="K35" s="30">
        <f>J35*1</f>
        <v>0</v>
      </c>
      <c r="L35" s="18" t="s">
        <v>247</v>
      </c>
    </row>
    <row r="36" s="1" customFormat="1" spans="1:12">
      <c r="A36" s="10">
        <f t="shared" si="0"/>
        <v>34</v>
      </c>
      <c r="B36" s="41" t="s">
        <v>282</v>
      </c>
      <c r="C36" s="40" t="s">
        <v>60</v>
      </c>
      <c r="D36" s="39" t="s">
        <v>27</v>
      </c>
      <c r="E36" s="33" t="s">
        <v>61</v>
      </c>
      <c r="F36" s="14" t="s">
        <v>14</v>
      </c>
      <c r="G36" s="15"/>
      <c r="H36" s="30">
        <v>1200</v>
      </c>
      <c r="I36" s="17">
        <v>1</v>
      </c>
      <c r="J36" s="30">
        <f t="shared" si="1"/>
        <v>1200</v>
      </c>
      <c r="K36" s="30">
        <f t="shared" ref="K36:K44" si="2">J36*12</f>
        <v>14400</v>
      </c>
      <c r="L36" s="18" t="s">
        <v>62</v>
      </c>
    </row>
    <row r="37" s="1" customFormat="1" spans="1:12">
      <c r="A37" s="10">
        <f t="shared" si="0"/>
        <v>35</v>
      </c>
      <c r="B37" s="42"/>
      <c r="C37" s="40"/>
      <c r="D37" s="43" t="s">
        <v>2</v>
      </c>
      <c r="E37" s="38" t="s">
        <v>65</v>
      </c>
      <c r="F37" s="14" t="s">
        <v>14</v>
      </c>
      <c r="G37" s="15" t="s">
        <v>15</v>
      </c>
      <c r="H37" s="30">
        <v>4200</v>
      </c>
      <c r="I37" s="17">
        <v>1</v>
      </c>
      <c r="J37" s="30">
        <f t="shared" si="1"/>
        <v>4200</v>
      </c>
      <c r="K37" s="30">
        <f t="shared" si="2"/>
        <v>50400</v>
      </c>
      <c r="L37" s="18" t="s">
        <v>66</v>
      </c>
    </row>
    <row r="38" s="1" customFormat="1" spans="1:12">
      <c r="A38" s="10">
        <f t="shared" si="0"/>
        <v>36</v>
      </c>
      <c r="B38" s="42"/>
      <c r="C38" s="40"/>
      <c r="D38" s="43" t="s">
        <v>2</v>
      </c>
      <c r="E38" s="33" t="s">
        <v>67</v>
      </c>
      <c r="F38" s="14" t="s">
        <v>14</v>
      </c>
      <c r="G38" s="15" t="s">
        <v>15</v>
      </c>
      <c r="H38" s="30">
        <v>3600</v>
      </c>
      <c r="I38" s="17">
        <v>1</v>
      </c>
      <c r="J38" s="30">
        <f t="shared" si="1"/>
        <v>3600</v>
      </c>
      <c r="K38" s="30">
        <f t="shared" si="2"/>
        <v>43200</v>
      </c>
      <c r="L38" s="18" t="s">
        <v>68</v>
      </c>
    </row>
    <row r="39" s="1" customFormat="1" spans="1:12">
      <c r="A39" s="10">
        <f t="shared" si="0"/>
        <v>37</v>
      </c>
      <c r="B39" s="42"/>
      <c r="C39" s="40"/>
      <c r="D39" s="39" t="s">
        <v>27</v>
      </c>
      <c r="E39" s="33" t="s">
        <v>73</v>
      </c>
      <c r="F39" s="14" t="s">
        <v>14</v>
      </c>
      <c r="G39" s="15"/>
      <c r="H39" s="30">
        <v>2000</v>
      </c>
      <c r="I39" s="17">
        <v>1</v>
      </c>
      <c r="J39" s="30">
        <f t="shared" si="1"/>
        <v>2000</v>
      </c>
      <c r="K39" s="30">
        <f t="shared" si="2"/>
        <v>24000</v>
      </c>
      <c r="L39" s="18" t="s">
        <v>74</v>
      </c>
    </row>
    <row r="40" s="1" customFormat="1" spans="1:12">
      <c r="A40" s="10">
        <f t="shared" si="0"/>
        <v>38</v>
      </c>
      <c r="B40" s="42"/>
      <c r="C40" s="40"/>
      <c r="D40" s="32" t="s">
        <v>2</v>
      </c>
      <c r="E40" s="33" t="s">
        <v>87</v>
      </c>
      <c r="F40" s="14" t="s">
        <v>14</v>
      </c>
      <c r="G40" s="15" t="s">
        <v>15</v>
      </c>
      <c r="H40" s="30">
        <v>1200</v>
      </c>
      <c r="I40" s="17">
        <v>1</v>
      </c>
      <c r="J40" s="30">
        <f t="shared" si="1"/>
        <v>1200</v>
      </c>
      <c r="K40" s="30">
        <f t="shared" si="2"/>
        <v>14400</v>
      </c>
      <c r="L40" s="18" t="s">
        <v>88</v>
      </c>
    </row>
    <row r="41" s="1" customFormat="1" spans="1:12">
      <c r="A41" s="10">
        <f t="shared" si="0"/>
        <v>39</v>
      </c>
      <c r="B41" s="42"/>
      <c r="C41" s="40"/>
      <c r="D41" s="32" t="s">
        <v>2</v>
      </c>
      <c r="E41" s="38" t="s">
        <v>92</v>
      </c>
      <c r="F41" s="14" t="s">
        <v>14</v>
      </c>
      <c r="G41" s="15" t="s">
        <v>15</v>
      </c>
      <c r="H41" s="30">
        <v>1200</v>
      </c>
      <c r="I41" s="17">
        <v>1</v>
      </c>
      <c r="J41" s="30">
        <f t="shared" si="1"/>
        <v>1200</v>
      </c>
      <c r="K41" s="30">
        <f t="shared" si="2"/>
        <v>14400</v>
      </c>
      <c r="L41" s="18" t="s">
        <v>93</v>
      </c>
    </row>
    <row r="42" s="1" customFormat="1" ht="24.85" spans="1:12">
      <c r="A42" s="10">
        <f t="shared" si="0"/>
        <v>40</v>
      </c>
      <c r="B42" s="42"/>
      <c r="C42" s="40"/>
      <c r="D42" s="32" t="s">
        <v>2</v>
      </c>
      <c r="E42" s="33" t="s">
        <v>94</v>
      </c>
      <c r="F42" s="14" t="s">
        <v>14</v>
      </c>
      <c r="G42" s="15" t="s">
        <v>15</v>
      </c>
      <c r="H42" s="30">
        <v>1200</v>
      </c>
      <c r="I42" s="17">
        <v>1</v>
      </c>
      <c r="J42" s="30">
        <f t="shared" si="1"/>
        <v>1200</v>
      </c>
      <c r="K42" s="30">
        <f t="shared" si="2"/>
        <v>14400</v>
      </c>
      <c r="L42" s="18" t="s">
        <v>95</v>
      </c>
    </row>
    <row r="43" s="1" customFormat="1" spans="1:12">
      <c r="A43" s="10">
        <f t="shared" si="0"/>
        <v>41</v>
      </c>
      <c r="B43" s="42"/>
      <c r="C43" s="40"/>
      <c r="D43" s="32" t="s">
        <v>2</v>
      </c>
      <c r="E43" s="33" t="s">
        <v>96</v>
      </c>
      <c r="F43" s="14" t="s">
        <v>14</v>
      </c>
      <c r="G43" s="15" t="s">
        <v>15</v>
      </c>
      <c r="H43" s="30">
        <v>1200</v>
      </c>
      <c r="I43" s="17">
        <v>1</v>
      </c>
      <c r="J43" s="30">
        <f t="shared" si="1"/>
        <v>1200</v>
      </c>
      <c r="K43" s="30">
        <f t="shared" si="2"/>
        <v>14400</v>
      </c>
      <c r="L43" s="18" t="s">
        <v>97</v>
      </c>
    </row>
    <row r="44" s="1" customFormat="1" spans="1:12">
      <c r="A44" s="10">
        <f t="shared" si="0"/>
        <v>42</v>
      </c>
      <c r="B44" s="42"/>
      <c r="C44" s="40"/>
      <c r="D44" s="32" t="s">
        <v>2</v>
      </c>
      <c r="E44" s="33" t="s">
        <v>98</v>
      </c>
      <c r="F44" s="14" t="s">
        <v>14</v>
      </c>
      <c r="G44" s="15" t="s">
        <v>15</v>
      </c>
      <c r="H44" s="30">
        <v>3800</v>
      </c>
      <c r="I44" s="17">
        <v>1</v>
      </c>
      <c r="J44" s="30">
        <f t="shared" si="1"/>
        <v>3800</v>
      </c>
      <c r="K44" s="30">
        <f t="shared" si="2"/>
        <v>45600</v>
      </c>
      <c r="L44" s="18" t="s">
        <v>99</v>
      </c>
    </row>
    <row r="45" s="1" customFormat="1" spans="1:12">
      <c r="A45" s="10">
        <f t="shared" si="0"/>
        <v>43</v>
      </c>
      <c r="B45" s="42"/>
      <c r="C45" s="40" t="s">
        <v>234</v>
      </c>
      <c r="D45" s="39" t="s">
        <v>27</v>
      </c>
      <c r="E45" s="38" t="s">
        <v>235</v>
      </c>
      <c r="F45" s="14" t="s">
        <v>14</v>
      </c>
      <c r="G45" s="15"/>
      <c r="H45" s="34">
        <v>118000</v>
      </c>
      <c r="I45" s="20">
        <v>1</v>
      </c>
      <c r="J45" s="34">
        <f t="shared" si="1"/>
        <v>118000</v>
      </c>
      <c r="K45" s="30">
        <v>680000</v>
      </c>
      <c r="L45" s="18" t="s">
        <v>236</v>
      </c>
    </row>
    <row r="46" s="1" customFormat="1" spans="1:12">
      <c r="A46" s="10">
        <f t="shared" si="0"/>
        <v>44</v>
      </c>
      <c r="B46" s="42"/>
      <c r="C46" s="40"/>
      <c r="D46" s="39"/>
      <c r="E46" s="38" t="s">
        <v>237</v>
      </c>
      <c r="F46" s="14" t="s">
        <v>14</v>
      </c>
      <c r="G46" s="15"/>
      <c r="H46" s="34"/>
      <c r="I46" s="20"/>
      <c r="J46" s="34"/>
      <c r="K46" s="30"/>
      <c r="L46" s="18" t="s">
        <v>238</v>
      </c>
    </row>
    <row r="47" s="1" customFormat="1" spans="1:12">
      <c r="A47" s="10">
        <f t="shared" si="0"/>
        <v>45</v>
      </c>
      <c r="B47" s="42"/>
      <c r="C47" s="40"/>
      <c r="D47" s="39"/>
      <c r="E47" s="38" t="s">
        <v>239</v>
      </c>
      <c r="F47" s="14" t="s">
        <v>14</v>
      </c>
      <c r="G47" s="15"/>
      <c r="H47" s="34"/>
      <c r="I47" s="20"/>
      <c r="J47" s="34"/>
      <c r="K47" s="30"/>
      <c r="L47" s="18" t="s">
        <v>240</v>
      </c>
    </row>
    <row r="48" s="1" customFormat="1" spans="1:12">
      <c r="A48" s="10">
        <f t="shared" si="0"/>
        <v>46</v>
      </c>
      <c r="B48" s="42"/>
      <c r="C48" s="40"/>
      <c r="D48" s="39"/>
      <c r="E48" s="38" t="s">
        <v>241</v>
      </c>
      <c r="F48" s="14" t="s">
        <v>14</v>
      </c>
      <c r="G48" s="15"/>
      <c r="H48" s="34"/>
      <c r="I48" s="20"/>
      <c r="J48" s="34"/>
      <c r="K48" s="30"/>
      <c r="L48" s="18" t="s">
        <v>242</v>
      </c>
    </row>
    <row r="49" s="1" customFormat="1" spans="1:12">
      <c r="A49" s="10">
        <f t="shared" ref="A49:A112" si="3">ROW()-2</f>
        <v>47</v>
      </c>
      <c r="B49" s="42"/>
      <c r="C49" s="12" t="s">
        <v>113</v>
      </c>
      <c r="D49" s="39" t="s">
        <v>27</v>
      </c>
      <c r="E49" s="44" t="s">
        <v>124</v>
      </c>
      <c r="F49" s="14" t="s">
        <v>14</v>
      </c>
      <c r="G49" s="15"/>
      <c r="H49" s="16">
        <v>2800</v>
      </c>
      <c r="I49" s="17">
        <v>1</v>
      </c>
      <c r="J49" s="16">
        <f>H49*I49</f>
        <v>2800</v>
      </c>
      <c r="K49" s="30">
        <f>J49*12</f>
        <v>33600</v>
      </c>
      <c r="L49" s="18" t="s">
        <v>125</v>
      </c>
    </row>
    <row r="50" s="1" customFormat="1" spans="1:12">
      <c r="A50" s="10">
        <f t="shared" si="3"/>
        <v>48</v>
      </c>
      <c r="B50" s="42"/>
      <c r="C50" s="12"/>
      <c r="D50" s="39"/>
      <c r="E50" s="44" t="s">
        <v>126</v>
      </c>
      <c r="F50" s="14" t="s">
        <v>14</v>
      </c>
      <c r="G50" s="15"/>
      <c r="H50" s="16"/>
      <c r="I50" s="17"/>
      <c r="J50" s="16"/>
      <c r="K50" s="30"/>
      <c r="L50" s="18" t="s">
        <v>127</v>
      </c>
    </row>
    <row r="51" s="1" customFormat="1" spans="1:12">
      <c r="A51" s="10">
        <f t="shared" si="3"/>
        <v>49</v>
      </c>
      <c r="B51" s="42"/>
      <c r="C51" s="12"/>
      <c r="D51" s="39"/>
      <c r="E51" s="44" t="s">
        <v>128</v>
      </c>
      <c r="F51" s="14" t="s">
        <v>14</v>
      </c>
      <c r="G51" s="15"/>
      <c r="H51" s="16"/>
      <c r="I51" s="17"/>
      <c r="J51" s="16"/>
      <c r="K51" s="30"/>
      <c r="L51" s="18" t="s">
        <v>129</v>
      </c>
    </row>
    <row r="52" s="1" customFormat="1" spans="1:12">
      <c r="A52" s="10">
        <f t="shared" si="3"/>
        <v>50</v>
      </c>
      <c r="B52" s="42"/>
      <c r="C52" s="12"/>
      <c r="D52" s="39"/>
      <c r="E52" s="18" t="s">
        <v>130</v>
      </c>
      <c r="F52" s="14" t="s">
        <v>14</v>
      </c>
      <c r="G52" s="15"/>
      <c r="H52" s="16"/>
      <c r="I52" s="17"/>
      <c r="J52" s="16"/>
      <c r="K52" s="30"/>
      <c r="L52" s="18" t="s">
        <v>131</v>
      </c>
    </row>
    <row r="53" s="1" customFormat="1" spans="1:12">
      <c r="A53" s="10">
        <f t="shared" si="3"/>
        <v>51</v>
      </c>
      <c r="B53" s="45"/>
      <c r="C53" s="12"/>
      <c r="D53" s="39"/>
      <c r="E53" s="33" t="s">
        <v>132</v>
      </c>
      <c r="F53" s="14" t="s">
        <v>14</v>
      </c>
      <c r="G53" s="15"/>
      <c r="H53" s="16"/>
      <c r="I53" s="17"/>
      <c r="J53" s="16"/>
      <c r="K53" s="30"/>
      <c r="L53" s="18" t="s">
        <v>133</v>
      </c>
    </row>
    <row r="54" s="1" customFormat="1" spans="1:12">
      <c r="A54" s="10">
        <f t="shared" si="3"/>
        <v>52</v>
      </c>
      <c r="B54" s="41" t="s">
        <v>283</v>
      </c>
      <c r="C54" s="40" t="s">
        <v>60</v>
      </c>
      <c r="D54" s="46" t="s">
        <v>27</v>
      </c>
      <c r="E54" s="33" t="s">
        <v>61</v>
      </c>
      <c r="F54" s="14" t="s">
        <v>14</v>
      </c>
      <c r="G54" s="15"/>
      <c r="H54" s="30">
        <v>1200</v>
      </c>
      <c r="I54" s="17">
        <v>1</v>
      </c>
      <c r="J54" s="30">
        <f t="shared" ref="J54:J63" si="4">H54*I54</f>
        <v>1200</v>
      </c>
      <c r="K54" s="30">
        <f t="shared" ref="K54:K62" si="5">J54*12</f>
        <v>14400</v>
      </c>
      <c r="L54" s="18" t="s">
        <v>62</v>
      </c>
    </row>
    <row r="55" s="1" customFormat="1" spans="1:12">
      <c r="A55" s="10">
        <f t="shared" si="3"/>
        <v>53</v>
      </c>
      <c r="B55" s="42"/>
      <c r="C55" s="40"/>
      <c r="D55" s="47"/>
      <c r="E55" s="38" t="s">
        <v>65</v>
      </c>
      <c r="F55" s="14" t="s">
        <v>14</v>
      </c>
      <c r="G55" s="15"/>
      <c r="H55" s="30">
        <v>4200</v>
      </c>
      <c r="I55" s="17">
        <v>1</v>
      </c>
      <c r="J55" s="30">
        <f t="shared" si="4"/>
        <v>4200</v>
      </c>
      <c r="K55" s="30">
        <f t="shared" si="5"/>
        <v>50400</v>
      </c>
      <c r="L55" s="18" t="s">
        <v>66</v>
      </c>
    </row>
    <row r="56" s="1" customFormat="1" spans="1:12">
      <c r="A56" s="10">
        <f t="shared" si="3"/>
        <v>54</v>
      </c>
      <c r="B56" s="42"/>
      <c r="C56" s="40"/>
      <c r="D56" s="47"/>
      <c r="E56" s="33" t="s">
        <v>67</v>
      </c>
      <c r="F56" s="14" t="s">
        <v>14</v>
      </c>
      <c r="G56" s="15"/>
      <c r="H56" s="30">
        <v>3600</v>
      </c>
      <c r="I56" s="17">
        <v>1</v>
      </c>
      <c r="J56" s="30">
        <f t="shared" si="4"/>
        <v>3600</v>
      </c>
      <c r="K56" s="30">
        <f t="shared" si="5"/>
        <v>43200</v>
      </c>
      <c r="L56" s="18" t="s">
        <v>68</v>
      </c>
    </row>
    <row r="57" s="1" customFormat="1" spans="1:12">
      <c r="A57" s="10">
        <f t="shared" si="3"/>
        <v>55</v>
      </c>
      <c r="B57" s="42"/>
      <c r="C57" s="40"/>
      <c r="D57" s="47"/>
      <c r="E57" s="33" t="s">
        <v>73</v>
      </c>
      <c r="F57" s="14" t="s">
        <v>14</v>
      </c>
      <c r="G57" s="15"/>
      <c r="H57" s="30">
        <v>2000</v>
      </c>
      <c r="I57" s="17">
        <v>1</v>
      </c>
      <c r="J57" s="30">
        <f t="shared" si="4"/>
        <v>2000</v>
      </c>
      <c r="K57" s="30">
        <f t="shared" si="5"/>
        <v>24000</v>
      </c>
      <c r="L57" s="18" t="s">
        <v>74</v>
      </c>
    </row>
    <row r="58" s="1" customFormat="1" spans="1:12">
      <c r="A58" s="10">
        <f t="shared" si="3"/>
        <v>56</v>
      </c>
      <c r="B58" s="42"/>
      <c r="C58" s="40"/>
      <c r="D58" s="47"/>
      <c r="E58" s="33" t="s">
        <v>87</v>
      </c>
      <c r="F58" s="14" t="s">
        <v>14</v>
      </c>
      <c r="G58" s="15"/>
      <c r="H58" s="30">
        <v>1200</v>
      </c>
      <c r="I58" s="17">
        <v>1</v>
      </c>
      <c r="J58" s="30">
        <f t="shared" si="4"/>
        <v>1200</v>
      </c>
      <c r="K58" s="30">
        <f t="shared" si="5"/>
        <v>14400</v>
      </c>
      <c r="L58" s="18" t="s">
        <v>88</v>
      </c>
    </row>
    <row r="59" s="1" customFormat="1" spans="1:12">
      <c r="A59" s="10">
        <f t="shared" si="3"/>
        <v>57</v>
      </c>
      <c r="B59" s="42"/>
      <c r="C59" s="40"/>
      <c r="D59" s="47"/>
      <c r="E59" s="38" t="s">
        <v>92</v>
      </c>
      <c r="F59" s="14" t="s">
        <v>14</v>
      </c>
      <c r="G59" s="15"/>
      <c r="H59" s="30">
        <v>1200</v>
      </c>
      <c r="I59" s="17">
        <v>1</v>
      </c>
      <c r="J59" s="30">
        <f t="shared" si="4"/>
        <v>1200</v>
      </c>
      <c r="K59" s="30">
        <f t="shared" si="5"/>
        <v>14400</v>
      </c>
      <c r="L59" s="18" t="s">
        <v>93</v>
      </c>
    </row>
    <row r="60" s="1" customFormat="1" ht="24.85" spans="1:12">
      <c r="A60" s="10">
        <f t="shared" si="3"/>
        <v>58</v>
      </c>
      <c r="B60" s="42"/>
      <c r="C60" s="40"/>
      <c r="D60" s="47"/>
      <c r="E60" s="33" t="s">
        <v>94</v>
      </c>
      <c r="F60" s="14" t="s">
        <v>14</v>
      </c>
      <c r="G60" s="15"/>
      <c r="H60" s="30">
        <v>1200</v>
      </c>
      <c r="I60" s="17">
        <v>1</v>
      </c>
      <c r="J60" s="30">
        <f t="shared" si="4"/>
        <v>1200</v>
      </c>
      <c r="K60" s="30">
        <f t="shared" si="5"/>
        <v>14400</v>
      </c>
      <c r="L60" s="18" t="s">
        <v>95</v>
      </c>
    </row>
    <row r="61" s="1" customFormat="1" spans="1:12">
      <c r="A61" s="10">
        <f t="shared" si="3"/>
        <v>59</v>
      </c>
      <c r="B61" s="42"/>
      <c r="C61" s="40"/>
      <c r="D61" s="47"/>
      <c r="E61" s="33" t="s">
        <v>96</v>
      </c>
      <c r="F61" s="14" t="s">
        <v>14</v>
      </c>
      <c r="G61" s="15"/>
      <c r="H61" s="30">
        <v>1200</v>
      </c>
      <c r="I61" s="17">
        <v>1</v>
      </c>
      <c r="J61" s="30">
        <f t="shared" si="4"/>
        <v>1200</v>
      </c>
      <c r="K61" s="30">
        <f t="shared" si="5"/>
        <v>14400</v>
      </c>
      <c r="L61" s="18" t="s">
        <v>97</v>
      </c>
    </row>
    <row r="62" s="1" customFormat="1" spans="1:12">
      <c r="A62" s="10">
        <f t="shared" si="3"/>
        <v>60</v>
      </c>
      <c r="B62" s="42"/>
      <c r="C62" s="40"/>
      <c r="D62" s="47"/>
      <c r="E62" s="33" t="s">
        <v>98</v>
      </c>
      <c r="F62" s="14" t="s">
        <v>14</v>
      </c>
      <c r="G62" s="15"/>
      <c r="H62" s="30">
        <v>3800</v>
      </c>
      <c r="I62" s="17">
        <v>1</v>
      </c>
      <c r="J62" s="30">
        <f t="shared" si="4"/>
        <v>3800</v>
      </c>
      <c r="K62" s="30">
        <f t="shared" si="5"/>
        <v>45600</v>
      </c>
      <c r="L62" s="18" t="s">
        <v>99</v>
      </c>
    </row>
    <row r="63" s="1" customFormat="1" spans="1:12">
      <c r="A63" s="10">
        <f t="shared" si="3"/>
        <v>61</v>
      </c>
      <c r="B63" s="42"/>
      <c r="C63" s="40" t="s">
        <v>234</v>
      </c>
      <c r="D63" s="47"/>
      <c r="E63" s="38" t="s">
        <v>235</v>
      </c>
      <c r="F63" s="14" t="s">
        <v>14</v>
      </c>
      <c r="G63" s="15"/>
      <c r="H63" s="34">
        <v>118000</v>
      </c>
      <c r="I63" s="20">
        <v>1</v>
      </c>
      <c r="J63" s="34">
        <f t="shared" si="4"/>
        <v>118000</v>
      </c>
      <c r="K63" s="30">
        <v>680000</v>
      </c>
      <c r="L63" s="18" t="s">
        <v>236</v>
      </c>
    </row>
    <row r="64" s="1" customFormat="1" spans="1:12">
      <c r="A64" s="10">
        <f t="shared" si="3"/>
        <v>62</v>
      </c>
      <c r="B64" s="42"/>
      <c r="C64" s="40"/>
      <c r="D64" s="47"/>
      <c r="E64" s="38" t="s">
        <v>237</v>
      </c>
      <c r="F64" s="14" t="s">
        <v>14</v>
      </c>
      <c r="G64" s="15"/>
      <c r="H64" s="34"/>
      <c r="I64" s="20"/>
      <c r="J64" s="34"/>
      <c r="K64" s="30"/>
      <c r="L64" s="18" t="s">
        <v>238</v>
      </c>
    </row>
    <row r="65" s="1" customFormat="1" spans="1:12">
      <c r="A65" s="10">
        <f t="shared" si="3"/>
        <v>63</v>
      </c>
      <c r="B65" s="42"/>
      <c r="C65" s="40"/>
      <c r="D65" s="47"/>
      <c r="E65" s="38" t="s">
        <v>239</v>
      </c>
      <c r="F65" s="14" t="s">
        <v>14</v>
      </c>
      <c r="G65" s="15"/>
      <c r="H65" s="34"/>
      <c r="I65" s="20"/>
      <c r="J65" s="34"/>
      <c r="K65" s="30"/>
      <c r="L65" s="18" t="s">
        <v>240</v>
      </c>
    </row>
    <row r="66" s="1" customFormat="1" spans="1:12">
      <c r="A66" s="10">
        <f t="shared" si="3"/>
        <v>64</v>
      </c>
      <c r="B66" s="42"/>
      <c r="C66" s="40"/>
      <c r="D66" s="47"/>
      <c r="E66" s="38" t="s">
        <v>241</v>
      </c>
      <c r="F66" s="14" t="s">
        <v>14</v>
      </c>
      <c r="G66" s="15"/>
      <c r="H66" s="34"/>
      <c r="I66" s="20"/>
      <c r="J66" s="34"/>
      <c r="K66" s="30"/>
      <c r="L66" s="18" t="s">
        <v>242</v>
      </c>
    </row>
    <row r="67" s="1" customFormat="1" spans="1:12">
      <c r="A67" s="10">
        <f t="shared" si="3"/>
        <v>65</v>
      </c>
      <c r="B67" s="42"/>
      <c r="C67" s="12" t="s">
        <v>113</v>
      </c>
      <c r="D67" s="47"/>
      <c r="E67" s="44" t="s">
        <v>124</v>
      </c>
      <c r="F67" s="14" t="s">
        <v>14</v>
      </c>
      <c r="G67" s="15"/>
      <c r="H67" s="16">
        <v>2800</v>
      </c>
      <c r="I67" s="17">
        <v>1</v>
      </c>
      <c r="J67" s="16">
        <f>H67*I67</f>
        <v>2800</v>
      </c>
      <c r="K67" s="30">
        <f>J67*12</f>
        <v>33600</v>
      </c>
      <c r="L67" s="18" t="s">
        <v>125</v>
      </c>
    </row>
    <row r="68" s="1" customFormat="1" spans="1:12">
      <c r="A68" s="10">
        <f t="shared" si="3"/>
        <v>66</v>
      </c>
      <c r="B68" s="42"/>
      <c r="C68" s="12"/>
      <c r="D68" s="47"/>
      <c r="E68" s="44" t="s">
        <v>126</v>
      </c>
      <c r="F68" s="14" t="s">
        <v>14</v>
      </c>
      <c r="G68" s="15"/>
      <c r="H68" s="16"/>
      <c r="I68" s="17"/>
      <c r="J68" s="16"/>
      <c r="K68" s="30"/>
      <c r="L68" s="18" t="s">
        <v>127</v>
      </c>
    </row>
    <row r="69" s="1" customFormat="1" spans="1:12">
      <c r="A69" s="10">
        <f t="shared" si="3"/>
        <v>67</v>
      </c>
      <c r="B69" s="42"/>
      <c r="C69" s="12"/>
      <c r="D69" s="47"/>
      <c r="E69" s="44" t="s">
        <v>128</v>
      </c>
      <c r="F69" s="14" t="s">
        <v>14</v>
      </c>
      <c r="G69" s="15"/>
      <c r="H69" s="16"/>
      <c r="I69" s="17"/>
      <c r="J69" s="16"/>
      <c r="K69" s="30"/>
      <c r="L69" s="18" t="s">
        <v>129</v>
      </c>
    </row>
    <row r="70" s="1" customFormat="1" spans="1:12">
      <c r="A70" s="10">
        <f t="shared" si="3"/>
        <v>68</v>
      </c>
      <c r="B70" s="42"/>
      <c r="C70" s="12"/>
      <c r="D70" s="47"/>
      <c r="E70" s="18" t="s">
        <v>130</v>
      </c>
      <c r="F70" s="14" t="s">
        <v>14</v>
      </c>
      <c r="G70" s="15"/>
      <c r="H70" s="16"/>
      <c r="I70" s="17"/>
      <c r="J70" s="16"/>
      <c r="K70" s="30"/>
      <c r="L70" s="18" t="s">
        <v>131</v>
      </c>
    </row>
    <row r="71" s="1" customFormat="1" spans="1:12">
      <c r="A71" s="10">
        <f t="shared" si="3"/>
        <v>69</v>
      </c>
      <c r="B71" s="45"/>
      <c r="C71" s="12"/>
      <c r="D71" s="48"/>
      <c r="E71" s="18" t="s">
        <v>132</v>
      </c>
      <c r="F71" s="14" t="s">
        <v>14</v>
      </c>
      <c r="G71" s="15"/>
      <c r="H71" s="16"/>
      <c r="I71" s="17"/>
      <c r="J71" s="16"/>
      <c r="K71" s="30"/>
      <c r="L71" s="18" t="s">
        <v>133</v>
      </c>
    </row>
    <row r="72" s="1" customFormat="1" spans="1:12">
      <c r="A72" s="10">
        <f t="shared" si="3"/>
        <v>70</v>
      </c>
      <c r="B72" s="41" t="s">
        <v>284</v>
      </c>
      <c r="C72" s="49" t="s">
        <v>285</v>
      </c>
      <c r="D72" s="46" t="s">
        <v>27</v>
      </c>
      <c r="E72" s="18" t="s">
        <v>286</v>
      </c>
      <c r="F72" s="14" t="s">
        <v>14</v>
      </c>
      <c r="G72" s="15"/>
      <c r="H72" s="50">
        <v>50000</v>
      </c>
      <c r="I72" s="51">
        <v>1</v>
      </c>
      <c r="J72" s="50">
        <f>H72*I72</f>
        <v>50000</v>
      </c>
      <c r="K72" s="50">
        <v>200000</v>
      </c>
      <c r="L72" s="18" t="s">
        <v>287</v>
      </c>
    </row>
    <row r="73" s="1" customFormat="1" spans="1:12">
      <c r="A73" s="10">
        <f t="shared" si="3"/>
        <v>71</v>
      </c>
      <c r="B73" s="42"/>
      <c r="C73" s="52"/>
      <c r="D73" s="47"/>
      <c r="E73" s="18" t="s">
        <v>288</v>
      </c>
      <c r="F73" s="14" t="s">
        <v>14</v>
      </c>
      <c r="G73" s="15"/>
      <c r="H73" s="53"/>
      <c r="I73" s="54"/>
      <c r="J73" s="53"/>
      <c r="K73" s="53"/>
      <c r="L73" s="18" t="s">
        <v>289</v>
      </c>
    </row>
    <row r="74" s="1" customFormat="1" spans="1:12">
      <c r="A74" s="10">
        <f t="shared" si="3"/>
        <v>72</v>
      </c>
      <c r="B74" s="42"/>
      <c r="C74" s="55"/>
      <c r="D74" s="47"/>
      <c r="E74" s="18" t="s">
        <v>290</v>
      </c>
      <c r="F74" s="14" t="s">
        <v>14</v>
      </c>
      <c r="G74" s="15"/>
      <c r="H74" s="53"/>
      <c r="I74" s="54"/>
      <c r="J74" s="53"/>
      <c r="K74" s="53"/>
      <c r="L74" s="18" t="s">
        <v>291</v>
      </c>
    </row>
    <row r="75" s="1" customFormat="1" spans="1:12">
      <c r="A75" s="10">
        <f t="shared" si="3"/>
        <v>73</v>
      </c>
      <c r="B75" s="42"/>
      <c r="C75" s="49" t="s">
        <v>209</v>
      </c>
      <c r="D75" s="47"/>
      <c r="E75" s="18" t="s">
        <v>292</v>
      </c>
      <c r="F75" s="14" t="s">
        <v>14</v>
      </c>
      <c r="G75" s="15"/>
      <c r="H75" s="53"/>
      <c r="I75" s="54"/>
      <c r="J75" s="53"/>
      <c r="K75" s="53"/>
      <c r="L75" s="18" t="s">
        <v>293</v>
      </c>
    </row>
    <row r="76" s="1" customFormat="1" spans="1:12">
      <c r="A76" s="10">
        <f t="shared" si="3"/>
        <v>74</v>
      </c>
      <c r="B76" s="42"/>
      <c r="C76" s="55"/>
      <c r="D76" s="47"/>
      <c r="E76" s="18" t="s">
        <v>294</v>
      </c>
      <c r="F76" s="14" t="s">
        <v>14</v>
      </c>
      <c r="G76" s="15"/>
      <c r="H76" s="53"/>
      <c r="I76" s="54"/>
      <c r="J76" s="53"/>
      <c r="K76" s="53"/>
      <c r="L76" s="18" t="s">
        <v>295</v>
      </c>
    </row>
    <row r="77" s="1" customFormat="1" spans="1:12">
      <c r="A77" s="10">
        <f t="shared" si="3"/>
        <v>75</v>
      </c>
      <c r="B77" s="42"/>
      <c r="C77" s="33" t="s">
        <v>296</v>
      </c>
      <c r="D77" s="47"/>
      <c r="E77" s="18" t="s">
        <v>297</v>
      </c>
      <c r="F77" s="14" t="s">
        <v>14</v>
      </c>
      <c r="G77" s="15"/>
      <c r="H77" s="53"/>
      <c r="I77" s="54"/>
      <c r="J77" s="53"/>
      <c r="K77" s="53"/>
      <c r="L77" s="18" t="s">
        <v>298</v>
      </c>
    </row>
    <row r="78" s="1" customFormat="1" spans="1:12">
      <c r="A78" s="10">
        <f t="shared" si="3"/>
        <v>76</v>
      </c>
      <c r="B78" s="42"/>
      <c r="C78" s="33" t="s">
        <v>299</v>
      </c>
      <c r="D78" s="47"/>
      <c r="E78" s="18" t="s">
        <v>299</v>
      </c>
      <c r="F78" s="14" t="s">
        <v>14</v>
      </c>
      <c r="G78" s="15"/>
      <c r="H78" s="53"/>
      <c r="I78" s="54"/>
      <c r="J78" s="53"/>
      <c r="K78" s="53"/>
      <c r="L78" s="18" t="s">
        <v>300</v>
      </c>
    </row>
    <row r="79" s="1" customFormat="1" spans="1:12">
      <c r="A79" s="10">
        <f t="shared" si="3"/>
        <v>77</v>
      </c>
      <c r="B79" s="42"/>
      <c r="C79" s="33" t="s">
        <v>301</v>
      </c>
      <c r="D79" s="47"/>
      <c r="E79" s="18" t="s">
        <v>301</v>
      </c>
      <c r="F79" s="14" t="s">
        <v>14</v>
      </c>
      <c r="G79" s="15"/>
      <c r="H79" s="53"/>
      <c r="I79" s="54"/>
      <c r="J79" s="53"/>
      <c r="K79" s="53"/>
      <c r="L79" s="18" t="s">
        <v>302</v>
      </c>
    </row>
    <row r="80" s="1" customFormat="1" spans="1:12">
      <c r="A80" s="10">
        <f t="shared" si="3"/>
        <v>78</v>
      </c>
      <c r="B80" s="42"/>
      <c r="C80" s="33" t="s">
        <v>303</v>
      </c>
      <c r="D80" s="48"/>
      <c r="E80" s="18" t="s">
        <v>303</v>
      </c>
      <c r="F80" s="14" t="s">
        <v>14</v>
      </c>
      <c r="G80" s="15"/>
      <c r="H80" s="56"/>
      <c r="I80" s="57"/>
      <c r="J80" s="56"/>
      <c r="K80" s="56"/>
      <c r="L80" s="18" t="s">
        <v>304</v>
      </c>
    </row>
    <row r="81" s="1" customFormat="1" spans="1:12">
      <c r="A81" s="10">
        <f t="shared" si="3"/>
        <v>79</v>
      </c>
      <c r="B81" s="41" t="s">
        <v>305</v>
      </c>
      <c r="C81" s="58" t="s">
        <v>306</v>
      </c>
      <c r="D81" s="46" t="s">
        <v>27</v>
      </c>
      <c r="E81" s="18" t="s">
        <v>307</v>
      </c>
      <c r="F81" s="14" t="s">
        <v>14</v>
      </c>
      <c r="G81" s="15"/>
      <c r="H81" s="50">
        <v>50000</v>
      </c>
      <c r="I81" s="51">
        <v>1</v>
      </c>
      <c r="J81" s="50">
        <f>H81*I81</f>
        <v>50000</v>
      </c>
      <c r="K81" s="50">
        <v>200000</v>
      </c>
      <c r="L81" s="18" t="s">
        <v>308</v>
      </c>
    </row>
    <row r="82" s="1" customFormat="1" spans="1:12">
      <c r="A82" s="10">
        <f t="shared" si="3"/>
        <v>80</v>
      </c>
      <c r="B82" s="42"/>
      <c r="C82" s="59"/>
      <c r="D82" s="47"/>
      <c r="E82" s="33" t="s">
        <v>309</v>
      </c>
      <c r="F82" s="14" t="s">
        <v>14</v>
      </c>
      <c r="G82" s="15"/>
      <c r="H82" s="53"/>
      <c r="I82" s="54"/>
      <c r="J82" s="53"/>
      <c r="K82" s="53"/>
      <c r="L82" s="18" t="s">
        <v>310</v>
      </c>
    </row>
    <row r="83" s="1" customFormat="1" ht="24.85" spans="1:12">
      <c r="A83" s="10">
        <f t="shared" si="3"/>
        <v>81</v>
      </c>
      <c r="B83" s="42"/>
      <c r="C83" s="58" t="s">
        <v>311</v>
      </c>
      <c r="D83" s="47"/>
      <c r="E83" s="38" t="s">
        <v>312</v>
      </c>
      <c r="F83" s="14" t="s">
        <v>14</v>
      </c>
      <c r="G83" s="15"/>
      <c r="H83" s="53"/>
      <c r="I83" s="54"/>
      <c r="J83" s="53"/>
      <c r="K83" s="53"/>
      <c r="L83" s="18" t="s">
        <v>313</v>
      </c>
    </row>
    <row r="84" s="1" customFormat="1" ht="24.85" spans="1:12">
      <c r="A84" s="10">
        <f t="shared" si="3"/>
        <v>82</v>
      </c>
      <c r="B84" s="42"/>
      <c r="C84" s="60"/>
      <c r="D84" s="47"/>
      <c r="E84" s="33" t="s">
        <v>314</v>
      </c>
      <c r="F84" s="14" t="s">
        <v>14</v>
      </c>
      <c r="G84" s="15"/>
      <c r="H84" s="53"/>
      <c r="I84" s="54"/>
      <c r="J84" s="53"/>
      <c r="K84" s="53"/>
      <c r="L84" s="18" t="s">
        <v>315</v>
      </c>
    </row>
    <row r="85" s="1" customFormat="1" spans="1:12">
      <c r="A85" s="10">
        <f t="shared" si="3"/>
        <v>83</v>
      </c>
      <c r="B85" s="42"/>
      <c r="C85" s="60"/>
      <c r="D85" s="47"/>
      <c r="E85" s="33" t="s">
        <v>316</v>
      </c>
      <c r="F85" s="14" t="s">
        <v>14</v>
      </c>
      <c r="G85" s="15"/>
      <c r="H85" s="53"/>
      <c r="I85" s="54"/>
      <c r="J85" s="53"/>
      <c r="K85" s="53"/>
      <c r="L85" s="18" t="s">
        <v>317</v>
      </c>
    </row>
    <row r="86" s="1" customFormat="1" ht="24.85" spans="1:12">
      <c r="A86" s="10">
        <f t="shared" si="3"/>
        <v>84</v>
      </c>
      <c r="B86" s="42"/>
      <c r="C86" s="59"/>
      <c r="D86" s="47"/>
      <c r="E86" s="33" t="s">
        <v>318</v>
      </c>
      <c r="F86" s="14" t="s">
        <v>14</v>
      </c>
      <c r="G86" s="15"/>
      <c r="H86" s="53"/>
      <c r="I86" s="54"/>
      <c r="J86" s="53"/>
      <c r="K86" s="53"/>
      <c r="L86" s="18" t="s">
        <v>319</v>
      </c>
    </row>
    <row r="87" s="1" customFormat="1" spans="1:12">
      <c r="A87" s="10">
        <f t="shared" si="3"/>
        <v>85</v>
      </c>
      <c r="B87" s="42"/>
      <c r="C87" s="61" t="s">
        <v>320</v>
      </c>
      <c r="D87" s="47"/>
      <c r="E87" s="33" t="s">
        <v>321</v>
      </c>
      <c r="F87" s="14" t="s">
        <v>14</v>
      </c>
      <c r="G87" s="15"/>
      <c r="H87" s="53"/>
      <c r="I87" s="54"/>
      <c r="J87" s="53"/>
      <c r="K87" s="53"/>
      <c r="L87" s="18" t="s">
        <v>322</v>
      </c>
    </row>
    <row r="88" s="1" customFormat="1" spans="1:12">
      <c r="A88" s="10">
        <f t="shared" si="3"/>
        <v>86</v>
      </c>
      <c r="B88" s="42"/>
      <c r="C88" s="62"/>
      <c r="D88" s="47"/>
      <c r="E88" s="33" t="s">
        <v>323</v>
      </c>
      <c r="F88" s="14" t="s">
        <v>14</v>
      </c>
      <c r="G88" s="15"/>
      <c r="H88" s="53"/>
      <c r="I88" s="54"/>
      <c r="J88" s="53"/>
      <c r="K88" s="53"/>
      <c r="L88" s="18" t="s">
        <v>324</v>
      </c>
    </row>
    <row r="89" s="1" customFormat="1" spans="1:12">
      <c r="A89" s="10">
        <f t="shared" si="3"/>
        <v>87</v>
      </c>
      <c r="B89" s="42"/>
      <c r="C89" s="63"/>
      <c r="D89" s="47"/>
      <c r="E89" s="38" t="s">
        <v>325</v>
      </c>
      <c r="F89" s="14" t="s">
        <v>14</v>
      </c>
      <c r="G89" s="15"/>
      <c r="H89" s="53"/>
      <c r="I89" s="54"/>
      <c r="J89" s="53"/>
      <c r="K89" s="53"/>
      <c r="L89" s="18" t="s">
        <v>326</v>
      </c>
    </row>
    <row r="90" s="1" customFormat="1" ht="24.85" spans="1:12">
      <c r="A90" s="10">
        <f t="shared" si="3"/>
        <v>88</v>
      </c>
      <c r="B90" s="42"/>
      <c r="C90" s="33" t="s">
        <v>327</v>
      </c>
      <c r="D90" s="47"/>
      <c r="E90" s="38" t="s">
        <v>327</v>
      </c>
      <c r="F90" s="14" t="s">
        <v>14</v>
      </c>
      <c r="G90" s="15"/>
      <c r="H90" s="53"/>
      <c r="I90" s="54"/>
      <c r="J90" s="53"/>
      <c r="K90" s="53"/>
      <c r="L90" s="18" t="s">
        <v>328</v>
      </c>
    </row>
    <row r="91" s="1" customFormat="1" spans="1:12">
      <c r="A91" s="10">
        <f t="shared" si="3"/>
        <v>89</v>
      </c>
      <c r="B91" s="42"/>
      <c r="C91" s="49" t="s">
        <v>329</v>
      </c>
      <c r="D91" s="47"/>
      <c r="E91" s="33" t="s">
        <v>330</v>
      </c>
      <c r="F91" s="14" t="s">
        <v>14</v>
      </c>
      <c r="G91" s="15"/>
      <c r="H91" s="53"/>
      <c r="I91" s="54"/>
      <c r="J91" s="53"/>
      <c r="K91" s="53"/>
      <c r="L91" s="18" t="s">
        <v>331</v>
      </c>
    </row>
    <row r="92" s="1" customFormat="1" spans="1:12">
      <c r="A92" s="10">
        <f t="shared" si="3"/>
        <v>90</v>
      </c>
      <c r="B92" s="42"/>
      <c r="C92" s="52"/>
      <c r="D92" s="47"/>
      <c r="E92" s="33" t="s">
        <v>332</v>
      </c>
      <c r="F92" s="14" t="s">
        <v>14</v>
      </c>
      <c r="G92" s="15"/>
      <c r="H92" s="53"/>
      <c r="I92" s="54"/>
      <c r="J92" s="53"/>
      <c r="K92" s="53"/>
      <c r="L92" s="18" t="s">
        <v>333</v>
      </c>
    </row>
    <row r="93" s="1" customFormat="1" spans="1:12">
      <c r="A93" s="10">
        <f t="shared" si="3"/>
        <v>91</v>
      </c>
      <c r="B93" s="42"/>
      <c r="C93" s="55"/>
      <c r="D93" s="48"/>
      <c r="E93" s="33" t="s">
        <v>334</v>
      </c>
      <c r="F93" s="14" t="s">
        <v>14</v>
      </c>
      <c r="G93" s="15"/>
      <c r="H93" s="56"/>
      <c r="I93" s="57"/>
      <c r="J93" s="56"/>
      <c r="K93" s="56"/>
      <c r="L93" s="18" t="s">
        <v>335</v>
      </c>
    </row>
    <row r="94" s="1" customFormat="1" spans="1:12">
      <c r="A94" s="10">
        <f t="shared" si="3"/>
        <v>92</v>
      </c>
      <c r="B94" s="41" t="s">
        <v>248</v>
      </c>
      <c r="C94" s="40" t="s">
        <v>306</v>
      </c>
      <c r="D94" s="46" t="s">
        <v>27</v>
      </c>
      <c r="E94" s="38" t="s">
        <v>336</v>
      </c>
      <c r="F94" s="14" t="s">
        <v>14</v>
      </c>
      <c r="G94" s="15"/>
      <c r="H94" s="50">
        <v>20000</v>
      </c>
      <c r="I94" s="51">
        <v>1</v>
      </c>
      <c r="J94" s="50">
        <v>20000</v>
      </c>
      <c r="K94" s="50">
        <v>500000</v>
      </c>
      <c r="L94" s="18" t="s">
        <v>337</v>
      </c>
    </row>
    <row r="95" s="1" customFormat="1" spans="1:12">
      <c r="A95" s="10">
        <f t="shared" si="3"/>
        <v>93</v>
      </c>
      <c r="B95" s="42"/>
      <c r="C95" s="40"/>
      <c r="D95" s="47"/>
      <c r="E95" s="38" t="s">
        <v>338</v>
      </c>
      <c r="F95" s="14" t="s">
        <v>14</v>
      </c>
      <c r="G95" s="15"/>
      <c r="H95" s="53"/>
      <c r="I95" s="54"/>
      <c r="J95" s="53"/>
      <c r="K95" s="53"/>
      <c r="L95" s="18" t="s">
        <v>339</v>
      </c>
    </row>
    <row r="96" s="1" customFormat="1" spans="1:12">
      <c r="A96" s="10">
        <f t="shared" si="3"/>
        <v>94</v>
      </c>
      <c r="B96" s="42"/>
      <c r="C96" s="40"/>
      <c r="D96" s="47"/>
      <c r="E96" s="38" t="s">
        <v>340</v>
      </c>
      <c r="F96" s="14" t="s">
        <v>14</v>
      </c>
      <c r="G96" s="15"/>
      <c r="H96" s="53"/>
      <c r="I96" s="54"/>
      <c r="J96" s="53"/>
      <c r="K96" s="53"/>
      <c r="L96" s="18" t="s">
        <v>341</v>
      </c>
    </row>
    <row r="97" s="1" customFormat="1" spans="1:12">
      <c r="A97" s="10">
        <f t="shared" si="3"/>
        <v>95</v>
      </c>
      <c r="B97" s="42"/>
      <c r="C97" s="40"/>
      <c r="D97" s="47"/>
      <c r="E97" s="38" t="s">
        <v>342</v>
      </c>
      <c r="F97" s="14" t="s">
        <v>14</v>
      </c>
      <c r="G97" s="15"/>
      <c r="H97" s="53"/>
      <c r="I97" s="54"/>
      <c r="J97" s="53"/>
      <c r="K97" s="53"/>
      <c r="L97" s="18" t="s">
        <v>343</v>
      </c>
    </row>
    <row r="98" s="1" customFormat="1" spans="1:12">
      <c r="A98" s="10">
        <f t="shared" ref="A98:A110" si="6">ROW()-2</f>
        <v>96</v>
      </c>
      <c r="B98" s="42"/>
      <c r="C98" s="40" t="s">
        <v>249</v>
      </c>
      <c r="D98" s="47"/>
      <c r="E98" s="38" t="s">
        <v>344</v>
      </c>
      <c r="F98" s="14" t="s">
        <v>14</v>
      </c>
      <c r="G98" s="15"/>
      <c r="H98" s="53"/>
      <c r="I98" s="54"/>
      <c r="J98" s="53"/>
      <c r="K98" s="53"/>
      <c r="L98" s="18" t="s">
        <v>345</v>
      </c>
    </row>
    <row r="99" s="1" customFormat="1" spans="1:12">
      <c r="A99" s="10">
        <f t="shared" si="6"/>
        <v>97</v>
      </c>
      <c r="B99" s="42"/>
      <c r="C99" s="40"/>
      <c r="D99" s="47"/>
      <c r="E99" s="38" t="s">
        <v>346</v>
      </c>
      <c r="F99" s="14" t="s">
        <v>14</v>
      </c>
      <c r="G99" s="15"/>
      <c r="H99" s="53"/>
      <c r="I99" s="54"/>
      <c r="J99" s="53"/>
      <c r="K99" s="53"/>
      <c r="L99" s="18" t="s">
        <v>347</v>
      </c>
    </row>
    <row r="100" s="1" customFormat="1" spans="1:12">
      <c r="A100" s="10">
        <f t="shared" si="6"/>
        <v>98</v>
      </c>
      <c r="B100" s="42"/>
      <c r="C100" s="40"/>
      <c r="D100" s="47"/>
      <c r="E100" s="38" t="s">
        <v>348</v>
      </c>
      <c r="F100" s="14" t="s">
        <v>14</v>
      </c>
      <c r="G100" s="15"/>
      <c r="H100" s="53"/>
      <c r="I100" s="54"/>
      <c r="J100" s="53"/>
      <c r="K100" s="53"/>
      <c r="L100" s="18" t="s">
        <v>349</v>
      </c>
    </row>
    <row r="101" s="1" customFormat="1" spans="1:12">
      <c r="A101" s="10">
        <f t="shared" si="6"/>
        <v>99</v>
      </c>
      <c r="B101" s="42"/>
      <c r="C101" s="40"/>
      <c r="D101" s="47"/>
      <c r="E101" s="38" t="s">
        <v>350</v>
      </c>
      <c r="F101" s="14" t="s">
        <v>14</v>
      </c>
      <c r="G101" s="15"/>
      <c r="H101" s="53"/>
      <c r="I101" s="54"/>
      <c r="J101" s="53"/>
      <c r="K101" s="53"/>
      <c r="L101" s="18" t="s">
        <v>351</v>
      </c>
    </row>
    <row r="102" s="1" customFormat="1" spans="1:12">
      <c r="A102" s="10">
        <f t="shared" si="6"/>
        <v>100</v>
      </c>
      <c r="B102" s="42"/>
      <c r="C102" s="12" t="s">
        <v>252</v>
      </c>
      <c r="D102" s="47"/>
      <c r="E102" s="18" t="s">
        <v>126</v>
      </c>
      <c r="F102" s="14" t="s">
        <v>14</v>
      </c>
      <c r="G102" s="15"/>
      <c r="H102" s="53"/>
      <c r="I102" s="54"/>
      <c r="J102" s="53"/>
      <c r="K102" s="53"/>
      <c r="L102" s="18" t="s">
        <v>352</v>
      </c>
    </row>
    <row r="103" s="1" customFormat="1" spans="1:12">
      <c r="A103" s="10">
        <f t="shared" si="6"/>
        <v>101</v>
      </c>
      <c r="B103" s="42"/>
      <c r="C103" s="12"/>
      <c r="D103" s="47"/>
      <c r="E103" s="18" t="s">
        <v>348</v>
      </c>
      <c r="F103" s="14" t="s">
        <v>14</v>
      </c>
      <c r="G103" s="15"/>
      <c r="H103" s="53"/>
      <c r="I103" s="54"/>
      <c r="J103" s="53"/>
      <c r="K103" s="53"/>
      <c r="L103" s="18" t="s">
        <v>353</v>
      </c>
    </row>
    <row r="104" s="1" customFormat="1" spans="1:12">
      <c r="A104" s="10">
        <f t="shared" si="6"/>
        <v>102</v>
      </c>
      <c r="B104" s="42"/>
      <c r="C104" s="12"/>
      <c r="D104" s="48"/>
      <c r="E104" s="38" t="s">
        <v>350</v>
      </c>
      <c r="F104" s="14" t="s">
        <v>14</v>
      </c>
      <c r="G104" s="15"/>
      <c r="H104" s="53"/>
      <c r="I104" s="57"/>
      <c r="J104" s="53"/>
      <c r="K104" s="53"/>
      <c r="L104" s="18" t="s">
        <v>354</v>
      </c>
    </row>
    <row r="105" s="1" customFormat="1" spans="1:12">
      <c r="A105" s="10">
        <f t="shared" ref="A105:A118" si="7">ROW()-2</f>
        <v>103</v>
      </c>
      <c r="B105" s="10"/>
      <c r="C105" s="12" t="s">
        <v>254</v>
      </c>
      <c r="D105" s="39" t="s">
        <v>27</v>
      </c>
      <c r="E105" s="38" t="s">
        <v>255</v>
      </c>
      <c r="F105" s="14" t="s">
        <v>14</v>
      </c>
      <c r="G105" s="15"/>
      <c r="H105" s="16">
        <v>2000</v>
      </c>
      <c r="I105" s="17">
        <v>3</v>
      </c>
      <c r="J105" s="16">
        <f>H105*I105</f>
        <v>6000</v>
      </c>
      <c r="K105" s="30">
        <f>J105*1</f>
        <v>6000</v>
      </c>
      <c r="L105" s="18" t="s">
        <v>256</v>
      </c>
    </row>
    <row r="106" s="1" customFormat="1" spans="1:12">
      <c r="A106" s="10">
        <f t="shared" si="7"/>
        <v>104</v>
      </c>
      <c r="B106" s="10"/>
      <c r="C106" s="12"/>
      <c r="D106" s="39" t="s">
        <v>27</v>
      </c>
      <c r="E106" s="38" t="s">
        <v>257</v>
      </c>
      <c r="F106" s="14" t="s">
        <v>14</v>
      </c>
      <c r="G106" s="15"/>
      <c r="H106" s="16">
        <v>2000</v>
      </c>
      <c r="I106" s="17">
        <v>0</v>
      </c>
      <c r="J106" s="16">
        <f>H106*I106</f>
        <v>0</v>
      </c>
      <c r="K106" s="30">
        <f>J106*1</f>
        <v>0</v>
      </c>
      <c r="L106" s="18" t="s">
        <v>258</v>
      </c>
    </row>
    <row r="107" s="1" customFormat="1" spans="1:12">
      <c r="A107" s="10">
        <f t="shared" si="7"/>
        <v>105</v>
      </c>
      <c r="B107" s="10"/>
      <c r="C107" s="12"/>
      <c r="D107" s="39" t="s">
        <v>27</v>
      </c>
      <c r="E107" s="38" t="s">
        <v>259</v>
      </c>
      <c r="F107" s="14" t="s">
        <v>14</v>
      </c>
      <c r="G107" s="15"/>
      <c r="H107" s="16">
        <v>8000</v>
      </c>
      <c r="I107" s="17">
        <v>0</v>
      </c>
      <c r="J107" s="16">
        <f>H107*I107</f>
        <v>0</v>
      </c>
      <c r="K107" s="30">
        <f>J107*1</f>
        <v>0</v>
      </c>
      <c r="L107" s="18" t="s">
        <v>260</v>
      </c>
    </row>
    <row r="108" s="1" customFormat="1" spans="1:12">
      <c r="A108" s="10">
        <f t="shared" si="7"/>
        <v>106</v>
      </c>
      <c r="B108" s="10"/>
      <c r="C108" s="64" t="s">
        <v>261</v>
      </c>
      <c r="D108" s="65"/>
      <c r="E108" s="66"/>
      <c r="F108" s="66"/>
      <c r="G108" s="66"/>
      <c r="H108" s="65"/>
      <c r="I108" s="67"/>
      <c r="J108" s="68">
        <f>SUMIF(F3:F107,"产品订阅",J3:J107)</f>
        <v>464200</v>
      </c>
      <c r="K108" s="68">
        <f>SUM(K3:K107)</f>
        <v>3100800</v>
      </c>
      <c r="L108" s="44"/>
    </row>
    <row r="109" s="1" customFormat="1" spans="1:12">
      <c r="A109" s="10">
        <f t="shared" si="7"/>
        <v>107</v>
      </c>
      <c r="B109" s="10"/>
      <c r="C109" s="64" t="s">
        <v>262</v>
      </c>
      <c r="D109" s="65"/>
      <c r="E109" s="66"/>
      <c r="F109" s="66"/>
      <c r="G109" s="66"/>
      <c r="H109" s="65"/>
      <c r="I109" s="67"/>
      <c r="J109" s="68">
        <f>SUMIF(G3:G107,"√",J3:J107)</f>
        <v>40600</v>
      </c>
      <c r="K109" s="68">
        <f>SUMIF(G3:G107,"√",K3:K107)</f>
        <v>411600</v>
      </c>
      <c r="L109" s="44"/>
    </row>
    <row r="110" s="1" customFormat="1" spans="1:12">
      <c r="A110" s="10">
        <f t="shared" si="7"/>
        <v>108</v>
      </c>
      <c r="B110" s="10"/>
      <c r="C110" s="40" t="s">
        <v>355</v>
      </c>
      <c r="D110" s="11" t="s">
        <v>2</v>
      </c>
      <c r="E110" s="38" t="s">
        <v>264</v>
      </c>
      <c r="F110" s="14" t="s">
        <v>265</v>
      </c>
      <c r="G110" s="15" t="s">
        <v>15</v>
      </c>
      <c r="H110" s="16">
        <v>0</v>
      </c>
      <c r="I110" s="17">
        <v>50</v>
      </c>
      <c r="J110" s="16">
        <f t="shared" ref="J110:J116" si="8">H110*I110</f>
        <v>0</v>
      </c>
      <c r="K110" s="16"/>
      <c r="L110" s="18" t="s">
        <v>266</v>
      </c>
    </row>
    <row r="111" s="1" customFormat="1" spans="1:12">
      <c r="A111" s="10">
        <f t="shared" si="7"/>
        <v>109</v>
      </c>
      <c r="B111" s="10"/>
      <c r="C111" s="40"/>
      <c r="D111" s="11"/>
      <c r="E111" s="38"/>
      <c r="F111" s="14"/>
      <c r="G111" s="15"/>
      <c r="H111" s="16">
        <v>300</v>
      </c>
      <c r="I111" s="17">
        <v>50</v>
      </c>
      <c r="J111" s="16">
        <f>H111*(I111-50)</f>
        <v>0</v>
      </c>
      <c r="K111" s="16"/>
      <c r="L111" s="18" t="s">
        <v>267</v>
      </c>
    </row>
    <row r="112" s="1" customFormat="1" spans="1:12">
      <c r="A112" s="10">
        <f t="shared" si="7"/>
        <v>110</v>
      </c>
      <c r="B112" s="10"/>
      <c r="C112" s="40"/>
      <c r="D112" s="11"/>
      <c r="E112" s="38"/>
      <c r="F112" s="14"/>
      <c r="G112" s="15"/>
      <c r="H112" s="16">
        <v>150</v>
      </c>
      <c r="I112" s="17">
        <v>100</v>
      </c>
      <c r="J112" s="16">
        <f>H112*(I112-100)</f>
        <v>0</v>
      </c>
      <c r="K112" s="16"/>
      <c r="L112" s="18" t="s">
        <v>268</v>
      </c>
    </row>
    <row r="113" s="1" customFormat="1" spans="1:12">
      <c r="A113" s="10">
        <f t="shared" si="7"/>
        <v>111</v>
      </c>
      <c r="B113" s="10"/>
      <c r="C113" s="64" t="s">
        <v>269</v>
      </c>
      <c r="D113" s="65"/>
      <c r="E113" s="66"/>
      <c r="F113" s="66"/>
      <c r="G113" s="66"/>
      <c r="H113" s="65"/>
      <c r="I113" s="67"/>
      <c r="J113" s="69">
        <f>SUMIF(G110:G112,"√",J110:J112)</f>
        <v>0</v>
      </c>
      <c r="K113" s="69"/>
      <c r="L113" s="18"/>
    </row>
    <row r="114" s="1" customFormat="1" spans="1:12">
      <c r="A114" s="10">
        <f t="shared" si="7"/>
        <v>112</v>
      </c>
      <c r="B114" s="10"/>
      <c r="C114" s="40" t="s">
        <v>270</v>
      </c>
      <c r="D114" s="11" t="s">
        <v>2</v>
      </c>
      <c r="E114" s="38" t="s">
        <v>271</v>
      </c>
      <c r="F114" s="11" t="s">
        <v>272</v>
      </c>
      <c r="G114" s="15" t="s">
        <v>15</v>
      </c>
      <c r="H114" s="16">
        <v>0</v>
      </c>
      <c r="I114" s="17">
        <v>1</v>
      </c>
      <c r="J114" s="16">
        <f t="shared" si="8"/>
        <v>0</v>
      </c>
      <c r="K114" s="16"/>
      <c r="L114" s="18" t="s">
        <v>273</v>
      </c>
    </row>
    <row r="115" s="1" customFormat="1" spans="1:12">
      <c r="A115" s="10">
        <f t="shared" si="7"/>
        <v>113</v>
      </c>
      <c r="B115" s="10"/>
      <c r="C115" s="40"/>
      <c r="D115" s="11" t="s">
        <v>2</v>
      </c>
      <c r="E115" s="33" t="s">
        <v>274</v>
      </c>
      <c r="F115" s="11" t="s">
        <v>272</v>
      </c>
      <c r="G115" s="15" t="s">
        <v>15</v>
      </c>
      <c r="H115" s="16">
        <v>0</v>
      </c>
      <c r="I115" s="17">
        <v>1</v>
      </c>
      <c r="J115" s="16">
        <f t="shared" si="8"/>
        <v>0</v>
      </c>
      <c r="K115" s="16"/>
      <c r="L115" s="18" t="s">
        <v>273</v>
      </c>
    </row>
    <row r="116" s="1" customFormat="1" spans="1:12">
      <c r="A116" s="10">
        <f t="shared" si="7"/>
        <v>114</v>
      </c>
      <c r="B116" s="10"/>
      <c r="C116" s="40"/>
      <c r="D116" s="11" t="s">
        <v>2</v>
      </c>
      <c r="E116" s="33" t="s">
        <v>275</v>
      </c>
      <c r="F116" s="11" t="s">
        <v>272</v>
      </c>
      <c r="G116" s="15" t="s">
        <v>15</v>
      </c>
      <c r="H116" s="16">
        <v>0</v>
      </c>
      <c r="I116" s="17">
        <v>1</v>
      </c>
      <c r="J116" s="16">
        <f t="shared" si="8"/>
        <v>0</v>
      </c>
      <c r="K116" s="16"/>
      <c r="L116" s="18" t="s">
        <v>273</v>
      </c>
    </row>
    <row r="117" s="1" customFormat="1" spans="1:12">
      <c r="A117" s="10">
        <f t="shared" si="7"/>
        <v>115</v>
      </c>
      <c r="B117" s="10"/>
      <c r="C117" s="64" t="s">
        <v>276</v>
      </c>
      <c r="D117" s="65"/>
      <c r="E117" s="66"/>
      <c r="F117" s="66"/>
      <c r="G117" s="66"/>
      <c r="H117" s="65"/>
      <c r="I117" s="67"/>
      <c r="J117" s="69">
        <f>SUMIF(G114:G116,"√",J114:J116)</f>
        <v>0</v>
      </c>
      <c r="K117" s="69"/>
      <c r="L117" s="44"/>
    </row>
    <row r="118" s="1" customFormat="1" spans="1:12">
      <c r="A118" s="10">
        <f t="shared" si="7"/>
        <v>116</v>
      </c>
      <c r="B118" s="10"/>
      <c r="C118" s="64" t="s">
        <v>277</v>
      </c>
      <c r="D118" s="65"/>
      <c r="E118" s="66"/>
      <c r="F118" s="66"/>
      <c r="G118" s="66"/>
      <c r="H118" s="65"/>
      <c r="I118" s="67"/>
      <c r="J118" s="34">
        <f>J109+J113+J117</f>
        <v>40600</v>
      </c>
      <c r="K118" s="34"/>
      <c r="L118" s="44"/>
    </row>
    <row r="119" s="1" customFormat="1" spans="1:12">
      <c r="A119" s="70"/>
      <c r="B119" s="70"/>
      <c r="C119" s="71"/>
      <c r="D119" s="72"/>
      <c r="E119" s="73"/>
      <c r="F119" s="73"/>
      <c r="G119" s="73"/>
      <c r="H119" s="74"/>
      <c r="I119" s="75"/>
      <c r="J119" s="74"/>
      <c r="K119" s="74"/>
      <c r="L119" s="5"/>
    </row>
    <row r="120" s="1" customFormat="1" spans="1:12">
      <c r="A120" s="70"/>
      <c r="B120" s="70"/>
      <c r="C120" s="71"/>
      <c r="D120" s="72"/>
      <c r="E120" s="73"/>
      <c r="F120" s="73"/>
      <c r="G120" s="73"/>
      <c r="H120" s="74"/>
      <c r="I120" s="75"/>
      <c r="J120" s="74"/>
      <c r="K120" s="74"/>
      <c r="L120" s="5"/>
    </row>
    <row r="121" s="1" customFormat="1" spans="1:12">
      <c r="A121" s="70"/>
      <c r="B121" s="70"/>
      <c r="C121" s="71"/>
      <c r="D121" s="72"/>
      <c r="E121" s="73"/>
      <c r="F121" s="73"/>
      <c r="G121" s="73"/>
      <c r="H121" s="74"/>
      <c r="I121" s="75"/>
      <c r="J121" s="74"/>
      <c r="K121" s="74"/>
      <c r="L121" s="5"/>
    </row>
    <row r="123" s="1" customFormat="1" spans="1:12">
      <c r="A123" s="76"/>
      <c r="B123" s="76"/>
      <c r="C123" s="77"/>
      <c r="D123" s="2"/>
      <c r="F123" s="2"/>
      <c r="G123" s="2"/>
      <c r="H123" s="2"/>
      <c r="I123" s="4"/>
      <c r="J123" s="2"/>
      <c r="K123" s="2"/>
      <c r="L123" s="5"/>
    </row>
    <row r="124" s="1" customFormat="1" spans="1:12">
      <c r="A124" s="78"/>
      <c r="B124" s="78"/>
      <c r="C124" s="79"/>
      <c r="D124" s="2"/>
      <c r="F124" s="2"/>
      <c r="G124" s="2"/>
      <c r="H124" s="2"/>
      <c r="I124" s="4"/>
      <c r="J124" s="2"/>
      <c r="K124" s="2"/>
      <c r="L124" s="5"/>
    </row>
    <row r="125" s="1" customFormat="1" spans="1:12">
      <c r="A125" s="78"/>
      <c r="B125" s="78"/>
      <c r="C125" s="76"/>
      <c r="D125" s="2"/>
      <c r="F125" s="2"/>
      <c r="G125" s="2"/>
      <c r="H125" s="2"/>
      <c r="I125" s="4"/>
      <c r="J125" s="2"/>
      <c r="K125" s="2"/>
      <c r="L125" s="5"/>
    </row>
    <row r="126" s="1" customFormat="1" spans="1:12">
      <c r="A126" s="78"/>
      <c r="B126" s="78"/>
      <c r="C126" s="76"/>
      <c r="D126" s="2"/>
      <c r="F126" s="2"/>
      <c r="G126" s="2"/>
      <c r="H126" s="2"/>
      <c r="I126" s="4"/>
      <c r="J126" s="2"/>
      <c r="K126" s="2"/>
      <c r="L126" s="5"/>
    </row>
    <row r="127" s="1" customFormat="1" spans="1:12">
      <c r="A127" s="78"/>
      <c r="B127" s="78"/>
      <c r="C127" s="76"/>
      <c r="D127" s="2"/>
      <c r="F127" s="2"/>
      <c r="G127" s="2"/>
      <c r="H127" s="2"/>
      <c r="I127" s="4"/>
      <c r="J127" s="2"/>
      <c r="K127" s="2"/>
      <c r="L127" s="5"/>
    </row>
  </sheetData>
  <sheetProtection formatCells="0" formatColumns="0" formatRows="0" insertRows="0" insertColumns="0" insertHyperlinks="0" deleteColumns="0" deleteRows="0" sort="0" autoFilter="0" pivotTables="0"/>
  <mergeCells count="108">
    <mergeCell ref="C108:I108"/>
    <mergeCell ref="C109:I109"/>
    <mergeCell ref="C113:I113"/>
    <mergeCell ref="C117:I117"/>
    <mergeCell ref="C118:I118"/>
    <mergeCell ref="A1:A2"/>
    <mergeCell ref="B1:B2"/>
    <mergeCell ref="B3:B35"/>
    <mergeCell ref="B36:B53"/>
    <mergeCell ref="B54:B71"/>
    <mergeCell ref="B72:B80"/>
    <mergeCell ref="B81:B93"/>
    <mergeCell ref="B94:B104"/>
    <mergeCell ref="C1:C2"/>
    <mergeCell ref="C3:C8"/>
    <mergeCell ref="C10:C15"/>
    <mergeCell ref="C16:C26"/>
    <mergeCell ref="C27:C33"/>
    <mergeCell ref="C34:C35"/>
    <mergeCell ref="C36:C44"/>
    <mergeCell ref="C45:C48"/>
    <mergeCell ref="C49:C53"/>
    <mergeCell ref="C54:C62"/>
    <mergeCell ref="C63:C66"/>
    <mergeCell ref="C67:C71"/>
    <mergeCell ref="C72:C74"/>
    <mergeCell ref="C75:C76"/>
    <mergeCell ref="C81:C82"/>
    <mergeCell ref="C83:C86"/>
    <mergeCell ref="C87:C89"/>
    <mergeCell ref="C91:C93"/>
    <mergeCell ref="C94:C97"/>
    <mergeCell ref="C98:C101"/>
    <mergeCell ref="C102:C104"/>
    <mergeCell ref="C105:C107"/>
    <mergeCell ref="C110:C112"/>
    <mergeCell ref="C114:C116"/>
    <mergeCell ref="D1:D2"/>
    <mergeCell ref="D3:D6"/>
    <mergeCell ref="D7:D8"/>
    <mergeCell ref="D11:D14"/>
    <mergeCell ref="D16:D26"/>
    <mergeCell ref="D27:D33"/>
    <mergeCell ref="D45:D48"/>
    <mergeCell ref="D49:D53"/>
    <mergeCell ref="D54:D71"/>
    <mergeCell ref="D72:D80"/>
    <mergeCell ref="D81:D93"/>
    <mergeCell ref="D94:D104"/>
    <mergeCell ref="D110:D112"/>
    <mergeCell ref="E1:E2"/>
    <mergeCell ref="E110:E112"/>
    <mergeCell ref="F1:F2"/>
    <mergeCell ref="F110:F112"/>
    <mergeCell ref="G1:G2"/>
    <mergeCell ref="H1:H2"/>
    <mergeCell ref="H3:H6"/>
    <mergeCell ref="H7:H8"/>
    <mergeCell ref="H11:H14"/>
    <mergeCell ref="H16:H26"/>
    <mergeCell ref="H27:H33"/>
    <mergeCell ref="H45:H48"/>
    <mergeCell ref="H49:H53"/>
    <mergeCell ref="H63:H66"/>
    <mergeCell ref="H67:H71"/>
    <mergeCell ref="H72:H80"/>
    <mergeCell ref="H81:H93"/>
    <mergeCell ref="H94:H104"/>
    <mergeCell ref="I1:I2"/>
    <mergeCell ref="I3:I6"/>
    <mergeCell ref="I7:I8"/>
    <mergeCell ref="I11:I14"/>
    <mergeCell ref="I16:I26"/>
    <mergeCell ref="I27:I33"/>
    <mergeCell ref="I45:I48"/>
    <mergeCell ref="I49:I53"/>
    <mergeCell ref="I63:I66"/>
    <mergeCell ref="I67:I71"/>
    <mergeCell ref="I72:I80"/>
    <mergeCell ref="I81:I93"/>
    <mergeCell ref="I94:I104"/>
    <mergeCell ref="J1:J2"/>
    <mergeCell ref="J3:J6"/>
    <mergeCell ref="J7:J8"/>
    <mergeCell ref="J11:J14"/>
    <mergeCell ref="J16:J26"/>
    <mergeCell ref="J27:J33"/>
    <mergeCell ref="J45:J48"/>
    <mergeCell ref="J49:J53"/>
    <mergeCell ref="J63:J66"/>
    <mergeCell ref="J67:J71"/>
    <mergeCell ref="J72:J80"/>
    <mergeCell ref="J81:J93"/>
    <mergeCell ref="J94:J104"/>
    <mergeCell ref="K1:K2"/>
    <mergeCell ref="K3:K8"/>
    <mergeCell ref="K11:K14"/>
    <mergeCell ref="K16:K26"/>
    <mergeCell ref="K27:K33"/>
    <mergeCell ref="K45:K48"/>
    <mergeCell ref="K49:K53"/>
    <mergeCell ref="K63:K66"/>
    <mergeCell ref="K67:K71"/>
    <mergeCell ref="K72:K80"/>
    <mergeCell ref="K81:K93"/>
    <mergeCell ref="K94:K104"/>
    <mergeCell ref="L1:L2"/>
    <mergeCell ref="M10:M15"/>
  </mergeCells>
  <dataValidations count="1">
    <dataValidation type="list" allowBlank="1" showErrorMessage="1" errorTitle="错误提示" error="请输入下拉列表中的值" sqref="G3:G107 G110:G112 G114:G116">
      <formula1>"√"</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
  <sheetViews>
    <sheetView topLeftCell="A13" workbookViewId="0">
      <selection activeCell="I45" sqref="I45"/>
    </sheetView>
  </sheetViews>
  <sheetFormatPr defaultColWidth="8.89189189189189" defaultRowHeight="14.1"/>
  <sheetData/>
  <sheetProtection formatCells="0" formatColumns="0" formatRows="0" insertRows="0" insertColumns="0" insertHyperlinks="0" deleteColumns="0" deleteRows="0" sort="0" autoFilter="0" pivotTables="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WWO_wpscloud_20250206155222-5ccb823cdd</Application>
  <HeadingPairs>
    <vt:vector size="2" baseType="variant">
      <vt:variant>
        <vt:lpstr>工作表</vt:lpstr>
      </vt:variant>
      <vt:variant>
        <vt:i4>3</vt:i4>
      </vt:variant>
    </vt:vector>
  </HeadingPairs>
  <TitlesOfParts>
    <vt:vector size="3" baseType="lpstr">
      <vt:lpstr>新点e交易（企业Saas平台）</vt:lpstr>
      <vt:lpstr>新点e交易（产业互联网）</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李海涛</dc:creator>
  <cp:lastModifiedBy>63111</cp:lastModifiedBy>
  <dcterms:created xsi:type="dcterms:W3CDTF">2023-05-22T03:15:00Z</dcterms:created>
  <dcterms:modified xsi:type="dcterms:W3CDTF">2025-11-13T01:54:15Z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F3489681FDC94DC791AB3C3B89E98A4D_13</vt:lpwstr>
  </property>
  <property fmtid="{D5CDD505-2E9C-101B-9397-08002B2CF9AE}" pid="4" name="KSOReadingLayout">
    <vt:bool>true</vt:bool>
  </property>
</Properties>
</file>