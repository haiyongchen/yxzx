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activeTab="5"/>
  </bookViews>
  <sheets>
    <sheet name="吉林_1" sheetId="1" r:id="rId1"/>
    <sheet name="辽宁_8" sheetId="2" r:id="rId2"/>
    <sheet name="内蒙古_13" sheetId="3" r:id="rId3"/>
    <sheet name="河北_6" sheetId="4" r:id="rId4"/>
    <sheet name="河南_36" sheetId="5" r:id="rId5"/>
    <sheet name="湖北_39" sheetId="6" r:id="rId6"/>
    <sheet name="新疆_17" sheetId="7" r:id="rId7"/>
    <sheet name="山东_25" sheetId="8" r:id="rId8"/>
    <sheet name="北京_1" sheetId="9" r:id="rId9"/>
    <sheet name="天津_1" sheetId="10" r:id="rId10"/>
    <sheet name="落地_8" sheetId="11" r:id="rId11"/>
    <sheet name="26年开设专区"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<sst xmlns="http://schemas.openxmlformats.org/spreadsheetml/2006/main" count="2665" uniqueCount="851">
  <si>
    <t>合同编号</t>
  </si>
  <si>
    <t>专区码</t>
  </si>
  <si>
    <t xml:space="preserve"> 原专区名称</t>
  </si>
  <si>
    <t>所属</t>
  </si>
  <si>
    <t xml:space="preserve"> 专区名称</t>
  </si>
  <si>
    <t>客户类型</t>
  </si>
  <si>
    <t>分公司</t>
  </si>
  <si>
    <t>省份</t>
  </si>
  <si>
    <t>地市</t>
  </si>
  <si>
    <t>所属平台</t>
  </si>
  <si>
    <t>项目经理</t>
  </si>
  <si>
    <t>远程交付</t>
  </si>
  <si>
    <t>商务</t>
  </si>
  <si>
    <t>开发</t>
  </si>
  <si>
    <t>确认接入时间</t>
  </si>
  <si>
    <t>接入时间至今</t>
  </si>
  <si>
    <t>专区上线自检表反馈时间</t>
  </si>
  <si>
    <t>上线时间至今</t>
  </si>
  <si>
    <t>专区状态</t>
  </si>
  <si>
    <t>25年收益情况</t>
  </si>
  <si>
    <t>26年收益情况</t>
  </si>
  <si>
    <t>总收益情况</t>
  </si>
  <si>
    <t>专区地址</t>
  </si>
  <si>
    <t>近期交易</t>
  </si>
  <si>
    <t>今日开标</t>
  </si>
  <si>
    <t>专区成本</t>
  </si>
  <si>
    <t>上线前成本</t>
  </si>
  <si>
    <t>预警等级</t>
  </si>
  <si>
    <t>备注</t>
  </si>
  <si>
    <t>C2025040047</t>
  </si>
  <si>
    <t>DQ_JLGXQ</t>
  </si>
  <si>
    <t>吉林高新区阳光招采电子交易平台</t>
  </si>
  <si>
    <t>大企业</t>
  </si>
  <si>
    <t>企业</t>
  </si>
  <si>
    <t>交易云服务华北分公司</t>
  </si>
  <si>
    <t>吉林省</t>
  </si>
  <si>
    <t>吉林市</t>
  </si>
  <si>
    <t>新点电子交易平台（7.0）</t>
  </si>
  <si>
    <t>无</t>
  </si>
  <si>
    <t>夏焕焕</t>
  </si>
  <si>
    <t>张乘</t>
  </si>
  <si>
    <t>黄安、沈智珩</t>
  </si>
  <si>
    <t>上线有量</t>
  </si>
  <si>
    <t>https://jlgxq.etrading.cn/</t>
  </si>
  <si>
    <t>长期无收益预警(红色);成熟期收益不达标(橙色)</t>
  </si>
  <si>
    <t>线下收取，未结算</t>
  </si>
  <si>
    <t>C2023050049</t>
  </si>
  <si>
    <t>DQ_HenXinLN</t>
  </si>
  <si>
    <t>恒信专区-北部分专区</t>
  </si>
  <si>
    <t>交易云服务华东分公司</t>
  </si>
  <si>
    <t>辽宁省</t>
  </si>
  <si>
    <t>大连</t>
  </si>
  <si>
    <t>江苏限额以下平台（7.0）</t>
  </si>
  <si>
    <t>袁振州</t>
  </si>
  <si>
    <t>李孟辉</t>
  </si>
  <si>
    <t>张渝、陈章</t>
  </si>
  <si>
    <t>https://hengxinbeibu.etrading.cn/</t>
  </si>
  <si>
    <t>成熟期收益不达标(橙色)</t>
  </si>
  <si>
    <t>A2023120215</t>
  </si>
  <si>
    <t>DQ_LNYanCao</t>
  </si>
  <si>
    <t>辽宁烟草公司电子交易平台</t>
  </si>
  <si>
    <t>沈阳市</t>
  </si>
  <si>
    <t>已收建设费1128106.50元，未收款	2632248.50元</t>
  </si>
  <si>
    <t>https://lnyc.etrading.cn/</t>
  </si>
  <si>
    <t>C2024080022</t>
  </si>
  <si>
    <t>DQ_BECZC</t>
  </si>
  <si>
    <t>博e采招采平台</t>
  </si>
  <si>
    <t>沈阳分公司</t>
  </si>
  <si>
    <t>大连市</t>
  </si>
  <si>
    <t>姜超</t>
  </si>
  <si>
    <t>徐中华</t>
  </si>
  <si>
    <t>上线无量</t>
  </si>
  <si>
    <t>https://boeczc.etrading.cn/</t>
  </si>
  <si>
    <t>C2024090037</t>
  </si>
  <si>
    <t>DQ_benxi</t>
  </si>
  <si>
    <t>本溪阳光数字化招标采购平台</t>
  </si>
  <si>
    <t>政府</t>
  </si>
  <si>
    <t>马学思</t>
  </si>
  <si>
    <t>余春海</t>
  </si>
  <si>
    <t>https://bxygszhzbcg.etrading.cn/</t>
  </si>
  <si>
    <t>C2025010021</t>
  </si>
  <si>
    <t>DQ_ShengTie</t>
  </si>
  <si>
    <t>沈铁专区</t>
  </si>
  <si>
    <t xml:space="preserve"> 沈阳分公司</t>
  </si>
  <si>
    <t>孙立伟</t>
  </si>
  <si>
    <t>/</t>
  </si>
  <si>
    <t xml:space="preserve"> 刘晓光</t>
  </si>
  <si>
    <t>https://shentie.etrading.cn/</t>
  </si>
  <si>
    <t>运营成本过高(红色)</t>
  </si>
  <si>
    <t>C2025050045</t>
  </si>
  <si>
    <t>DQ_JZZCT</t>
  </si>
  <si>
    <t>锦州国企招标采购交易平台</t>
  </si>
  <si>
    <t>锦州市</t>
  </si>
  <si>
    <t>罗聪、李明轩</t>
  </si>
  <si>
    <t>谭慧敏</t>
  </si>
  <si>
    <t>张玉龙</t>
  </si>
  <si>
    <t>正常</t>
  </si>
  <si>
    <t>B2025110007</t>
  </si>
  <si>
    <t>DQ_ZTWZGJZB</t>
  </si>
  <si>
    <t>铁路建设项目电子交易平台</t>
  </si>
  <si>
    <t>中铁物总国际招标有限公司电子交易平台</t>
  </si>
  <si>
    <t>彭明松</t>
  </si>
  <si>
    <t>https://ztwzgjzb.etrading.cn/</t>
  </si>
  <si>
    <t>成长期无收益(黄色);成长期收益低效(橙色)</t>
  </si>
  <si>
    <t>C2026010014</t>
  </si>
  <si>
    <t>DQ_LNGCZXZQ</t>
  </si>
  <si>
    <t>辽宁工程咨询招投标交易平台</t>
  </si>
  <si>
    <t>辽宁省咨询产业集团专区</t>
  </si>
  <si>
    <t>企业数字化采购平台（8.0）</t>
  </si>
  <si>
    <t xml:space="preserve">拱占文 </t>
  </si>
  <si>
    <t>钟源</t>
  </si>
  <si>
    <t>推进中</t>
  </si>
  <si>
    <t>https://lngczxzq.etrading.cn/</t>
  </si>
  <si>
    <t>C2022070019</t>
  </si>
  <si>
    <t>DQ_NeiMengGu</t>
  </si>
  <si>
    <t>内蒙古专区</t>
  </si>
  <si>
    <t>内蒙古蒙古族自治区</t>
  </si>
  <si>
    <t>呼和浩特市</t>
  </si>
  <si>
    <t>梁磊</t>
  </si>
  <si>
    <t>https://nmg.etrading.cn/</t>
  </si>
  <si>
    <t>C2023110032</t>
  </si>
  <si>
    <t>DQ_ZCQLC</t>
  </si>
  <si>
    <t>内蒙古招投标电子交易平台</t>
  </si>
  <si>
    <t>中采全流程电子交易平台</t>
  </si>
  <si>
    <t>通辽市</t>
  </si>
  <si>
    <t>http://nmgzc.etrading.cn/</t>
  </si>
  <si>
    <t>C2024070027</t>
  </si>
  <si>
    <t>DQ_Eerduosixin</t>
  </si>
  <si>
    <t>鄂尔多斯专区</t>
  </si>
  <si>
    <t>鄂尔多斯</t>
  </si>
  <si>
    <t>黄安</t>
  </si>
  <si>
    <t>https://eeds.etrading.cn/</t>
  </si>
  <si>
    <t>C2024120019</t>
  </si>
  <si>
    <t>DQ_MengZhao</t>
  </si>
  <si>
    <t>蒙招专区</t>
  </si>
  <si>
    <t>其他</t>
  </si>
  <si>
    <t>顾梦娇</t>
  </si>
  <si>
    <t>白泽江</t>
  </si>
  <si>
    <t>https://mengzhao.etrading.cn/</t>
  </si>
  <si>
    <t>C2025030018</t>
  </si>
  <si>
    <t>DQ_ZZJT</t>
  </si>
  <si>
    <t>中招建通新点电子交易平台</t>
  </si>
  <si>
    <t>法智成</t>
  </si>
  <si>
    <t>http://zzjt.etrading.cn/</t>
  </si>
  <si>
    <t xml:space="preserve">C2025040019 </t>
  </si>
  <si>
    <t>DQ_MSJY</t>
  </si>
  <si>
    <t>明世继元新点电子交易平台</t>
  </si>
  <si>
    <t>数据推送有问题待排查</t>
  </si>
  <si>
    <t>https://msjy.etrading.cn/</t>
  </si>
  <si>
    <t>C2025040021</t>
  </si>
  <si>
    <t>DQ_GNZX</t>
  </si>
  <si>
    <t>国能咨询新点电子交易平台专区</t>
  </si>
  <si>
    <t>https://gnzx.etrading.cn/</t>
  </si>
  <si>
    <t>C2025040020</t>
  </si>
  <si>
    <t>DQ_ZJGJ</t>
  </si>
  <si>
    <t>中经国际新点电子交易平台专区</t>
  </si>
  <si>
    <t>https://zjgj.etrading.cn/</t>
  </si>
  <si>
    <t>C2025080005</t>
  </si>
  <si>
    <t>DQ_BYNE</t>
  </si>
  <si>
    <t>巴彦淖尔市阳光招采电子交易平台</t>
  </si>
  <si>
    <t>巴彦淖尔市</t>
  </si>
  <si>
    <t>https://byne.etrading.cn/</t>
  </si>
  <si>
    <t>C2025080057</t>
  </si>
  <si>
    <t>DQ_BFCX</t>
  </si>
  <si>
    <t>北方诚信电子交易平台</t>
  </si>
  <si>
    <t>暂停</t>
  </si>
  <si>
    <t>C2025120020</t>
  </si>
  <si>
    <t>DQ_YGZC</t>
  </si>
  <si>
    <t>阳光招采电子交易平台专区</t>
  </si>
  <si>
    <t>https://ygzc.etrading.cn/</t>
  </si>
  <si>
    <t>C2025120022</t>
  </si>
  <si>
    <t>DQ_NMGZCZQ</t>
  </si>
  <si>
    <t>内蒙古招采专区</t>
  </si>
  <si>
    <t>施忠义</t>
  </si>
  <si>
    <t>范瑞蒙</t>
  </si>
  <si>
    <t>http://neimenggu.etrading.cn/</t>
  </si>
  <si>
    <t>HTTP:404</t>
  </si>
  <si>
    <t>C2025120042</t>
  </si>
  <si>
    <t>DQ_EEDSEZC</t>
  </si>
  <si>
    <t>鄂尔多斯E招采交易平台</t>
  </si>
  <si>
    <t>鄂尔多斯市</t>
  </si>
  <si>
    <t>https://eedsezc.etrading.cn/</t>
  </si>
  <si>
    <t>C2025020028</t>
  </si>
  <si>
    <t>DQ_ZhengLue</t>
  </si>
  <si>
    <t>高普专区</t>
  </si>
  <si>
    <t>正略专区</t>
  </si>
  <si>
    <t>河北省</t>
  </si>
  <si>
    <t>保定市</t>
  </si>
  <si>
    <t>卜舒琴</t>
  </si>
  <si>
    <t>刘振飞</t>
  </si>
  <si>
    <t>https://gaopu.etrading.cn/</t>
  </si>
  <si>
    <t>A2025060127</t>
  </si>
  <si>
    <t>DQ_QHDYG</t>
  </si>
  <si>
    <t>秦皇岛市阳光采购平台</t>
  </si>
  <si>
    <t>石家庄分公司</t>
  </si>
  <si>
    <t>秦皇岛</t>
  </si>
  <si>
    <t>吴昊阳</t>
  </si>
  <si>
    <t>娄欢</t>
  </si>
  <si>
    <t>没做预结算申请</t>
  </si>
  <si>
    <t>https://qhdgzzc.etrading.cn/</t>
  </si>
  <si>
    <t>C2025090022</t>
  </si>
  <si>
    <t>DQ_ZZJSYYCGPT</t>
  </si>
  <si>
    <t>张家口市第一医院招标采购平台</t>
  </si>
  <si>
    <t>李晗宇</t>
  </si>
  <si>
    <t>李小科</t>
  </si>
  <si>
    <t>https://zjksdyyyzbcg.etrading.cn/</t>
  </si>
  <si>
    <t>C2025100008</t>
  </si>
  <si>
    <t>DQ_CDSWZQ</t>
  </si>
  <si>
    <t>承德水务集团招采专区</t>
  </si>
  <si>
    <t>承德市</t>
  </si>
  <si>
    <t>王文朴</t>
  </si>
  <si>
    <t>胡希哲</t>
  </si>
  <si>
    <t>叶明强</t>
  </si>
  <si>
    <t>https://cdswzq.etrading.cn/</t>
  </si>
  <si>
    <t>A2025100113</t>
  </si>
  <si>
    <t>DQ_SJZGDZQ</t>
  </si>
  <si>
    <t>石家庄市轨道交通集团招采平台</t>
  </si>
  <si>
    <t>石家庄市</t>
  </si>
  <si>
    <t>蔺浦杰</t>
  </si>
  <si>
    <t>客户在等开票功能和农行那边开通扫码支付</t>
  </si>
  <si>
    <t>https://shijiazhuangdt.etrading.cn/</t>
  </si>
  <si>
    <t>C2026030007</t>
  </si>
  <si>
    <t>DQ_HBZQJYPT</t>
  </si>
  <si>
    <t>河北招采专区</t>
  </si>
  <si>
    <t>路亚波</t>
  </si>
  <si>
    <t>C2021110048</t>
  </si>
  <si>
    <t>DQ_JiaMing</t>
  </si>
  <si>
    <t>嘉铭专区</t>
  </si>
  <si>
    <t>河南省</t>
  </si>
  <si>
    <t>省直辖县级行政区划</t>
  </si>
  <si>
    <t>https://jiaming.etrading.cn/</t>
  </si>
  <si>
    <t>C2022010026</t>
  </si>
  <si>
    <t>DQ_WanChen</t>
  </si>
  <si>
    <t>南阳专区</t>
  </si>
  <si>
    <t>南阳市</t>
  </si>
  <si>
    <t>http://wanchen.etrading.cn/</t>
  </si>
  <si>
    <t xml:space="preserve">C2022030039 </t>
  </si>
  <si>
    <t>DQ_HeNan</t>
  </si>
  <si>
    <t>河南专区</t>
  </si>
  <si>
    <t>https://henan.etrading.cn/</t>
  </si>
  <si>
    <t>运营成本过高(红色);成熟期收益不达标(橙色)</t>
  </si>
  <si>
    <t xml:space="preserve">C2022060010 </t>
  </si>
  <si>
    <t>DQ_ZhongGuangDianZi</t>
  </si>
  <si>
    <t>中光电子公共资源交易平台</t>
  </si>
  <si>
    <t>郑州市</t>
  </si>
  <si>
    <t>https://zgdz.etrading.cn/</t>
  </si>
  <si>
    <t>C2022090009</t>
  </si>
  <si>
    <t>DQ_JiYuan</t>
  </si>
  <si>
    <t>济源专区</t>
  </si>
  <si>
    <t>济源市</t>
  </si>
  <si>
    <t>https://jiyuan.etrading.cn/</t>
  </si>
  <si>
    <t>C2022080033</t>
  </si>
  <si>
    <t>DQ_HenXin</t>
  </si>
  <si>
    <t>恒信专区</t>
  </si>
  <si>
    <t>https://hengxin.etrading.cn/</t>
  </si>
  <si>
    <t>C2022090008</t>
  </si>
  <si>
    <t>DQ_ZhengJi</t>
  </si>
  <si>
    <t>正济专区</t>
  </si>
  <si>
    <t>https://zhengji.etrading.cn/</t>
  </si>
  <si>
    <t>C2022120014</t>
  </si>
  <si>
    <t>DQ_RunZe</t>
  </si>
  <si>
    <t>润泽专区</t>
  </si>
  <si>
    <t>http://runze.etrading.cn/</t>
  </si>
  <si>
    <t>C2023020032</t>
  </si>
  <si>
    <t>DQ_XinYang</t>
  </si>
  <si>
    <t>信阳专区</t>
  </si>
  <si>
    <t>信阳市</t>
  </si>
  <si>
    <t>https://xinyangweb.etrading.cn/</t>
  </si>
  <si>
    <t>A2023030213</t>
  </si>
  <si>
    <t>DQ_PingDingShanRanqi</t>
  </si>
  <si>
    <t>平顶山燃气招采专区</t>
  </si>
  <si>
    <t>平顶山市</t>
  </si>
  <si>
    <t>无营运收益</t>
  </si>
  <si>
    <t>http://pdsrq.etrading.cn/</t>
  </si>
  <si>
    <t>C2024070040</t>
  </si>
  <si>
    <t>DQ_XuChangtzjt</t>
  </si>
  <si>
    <t>许昌投资集团招采平台</t>
  </si>
  <si>
    <t>许昌市</t>
  </si>
  <si>
    <t>标证通收益，不收平台费</t>
  </si>
  <si>
    <t>https://xctzjt.etrading.cn/</t>
  </si>
  <si>
    <t>C2023070027</t>
  </si>
  <si>
    <t>DQ_TengNuo</t>
  </si>
  <si>
    <t>腾诺专区</t>
  </si>
  <si>
    <t>https://tengnuo.etrading.cn/</t>
  </si>
  <si>
    <t xml:space="preserve">C2023110060 </t>
  </si>
  <si>
    <t>DQ_LKXXGCZ</t>
  </si>
  <si>
    <t>兰考县兴工财政投资有限公司招采平台</t>
  </si>
  <si>
    <t>开封市</t>
  </si>
  <si>
    <t>https://lankao.etrading.cn/</t>
  </si>
  <si>
    <t>C2024010006</t>
  </si>
  <si>
    <t>DQ_ZhongLuo</t>
  </si>
  <si>
    <t>中洛互通招标采购电子交易平台</t>
  </si>
  <si>
    <t>https://zhongluo.etrading.cn/</t>
  </si>
  <si>
    <t>C2024010007</t>
  </si>
  <si>
    <t>DQ_ZhiCheng</t>
  </si>
  <si>
    <t>至诚专区</t>
  </si>
  <si>
    <t>https://zhicheng.etrading.cn/</t>
  </si>
  <si>
    <t>C2024010027</t>
  </si>
  <si>
    <t>DQ_ZhongYuanYZ</t>
  </si>
  <si>
    <t>河南“中原云招”专区</t>
  </si>
  <si>
    <t>韩博</t>
  </si>
  <si>
    <t>https://zhongyuanyz.etrading.cn/</t>
  </si>
  <si>
    <t>C2024040031;
A2024040110</t>
  </si>
  <si>
    <t>DQ_XAST</t>
  </si>
  <si>
    <t>鑫安胜通专区</t>
  </si>
  <si>
    <t>焦作市</t>
  </si>
  <si>
    <t>https://xast.etrading.cn/</t>
  </si>
  <si>
    <t>B2024040092</t>
  </si>
  <si>
    <t>DQ_FengCheng</t>
  </si>
  <si>
    <t>丰成专区</t>
  </si>
  <si>
    <t>新乡市</t>
  </si>
  <si>
    <t>宋振国</t>
  </si>
  <si>
    <t>张渝,陈章</t>
  </si>
  <si>
    <t>合同立项没走完</t>
  </si>
  <si>
    <t>https://fengcheng.etrading.cn/</t>
  </si>
  <si>
    <t>C2024050027</t>
  </si>
  <si>
    <t>DQ_Guozhitai</t>
  </si>
  <si>
    <t>国之泰专区</t>
  </si>
  <si>
    <t>https://gzt.etrading.cn/</t>
  </si>
  <si>
    <t>B2024100072</t>
  </si>
  <si>
    <t>DQ_hhxy</t>
  </si>
  <si>
    <t>黄淮学院电子采购平台</t>
  </si>
  <si>
    <t>驻马店市</t>
  </si>
  <si>
    <t>https://hhxy.etrading.cn/</t>
  </si>
  <si>
    <t>C2024100004</t>
  </si>
  <si>
    <t>DQ_FengHui</t>
  </si>
  <si>
    <t>丰汇专区</t>
  </si>
  <si>
    <t>https://fenghui.etrading.cn/</t>
  </si>
  <si>
    <t xml:space="preserve">C2024100014 </t>
  </si>
  <si>
    <t>DQ_HNDHZQ</t>
  </si>
  <si>
    <t xml:space="preserve">	
河南大河新疆专区
</t>
  </si>
  <si>
    <t>河南大河专区</t>
  </si>
  <si>
    <t>https://hndhzq.etrading.cn/</t>
  </si>
  <si>
    <t>C2024100025</t>
  </si>
  <si>
    <t>DQ_huiyang</t>
  </si>
  <si>
    <t>辉阳专区</t>
  </si>
  <si>
    <t>周口市</t>
  </si>
  <si>
    <t>https://huiyang.etrading.cn/</t>
  </si>
  <si>
    <t>A2025030003</t>
  </si>
  <si>
    <t>DQ_AnYang</t>
  </si>
  <si>
    <t>安阳市公共资源限额以下（国企采购）交易平台</t>
  </si>
  <si>
    <t>安阳市</t>
  </si>
  <si>
    <t>鲁晓月</t>
  </si>
  <si>
    <t>https://anyang.etrading.cn/</t>
  </si>
  <si>
    <t>C2025040042</t>
  </si>
  <si>
    <t>驻马店国资采购电子招采平台</t>
  </si>
  <si>
    <t>郑州分公司</t>
  </si>
  <si>
    <t>刘俊杰</t>
  </si>
  <si>
    <t>于登朝</t>
  </si>
  <si>
    <t>巫志宏</t>
  </si>
  <si>
    <t>https://zmdgqcg.etrading.cn/</t>
  </si>
  <si>
    <t xml:space="preserve">
A2025030215</t>
  </si>
  <si>
    <t>DQ_AnYangnccq</t>
  </si>
  <si>
    <t>安阳市农村产权招标采购交易平台</t>
  </si>
  <si>
    <t>https://anyangnccq.etrading.cn/</t>
  </si>
  <si>
    <t>C2025060007</t>
  </si>
  <si>
    <t>DQ_BoFan</t>
  </si>
  <si>
    <t xml:space="preserve">博凡专区
</t>
  </si>
  <si>
    <t>张渝</t>
  </si>
  <si>
    <t>https://bofan.etrading.cn/</t>
  </si>
  <si>
    <t>C2025060006</t>
  </si>
  <si>
    <t>DQ_JiYuanGD</t>
  </si>
  <si>
    <t>智达专区</t>
  </si>
  <si>
    <t>济源光大专区</t>
  </si>
  <si>
    <t>https://jiyuangd.etrading.cn/</t>
  </si>
  <si>
    <t>C2025060008</t>
  </si>
  <si>
    <t>DQ_ZYHX</t>
  </si>
  <si>
    <t>中誉恒信专区</t>
  </si>
  <si>
    <t>https://zyhx.etrading.cn/</t>
  </si>
  <si>
    <t>C2025060016</t>
  </si>
  <si>
    <t>DQ_ZhongDing</t>
  </si>
  <si>
    <t>众鼎专区</t>
  </si>
  <si>
    <t>https://zhongding.etrading.cn/</t>
  </si>
  <si>
    <t>C2025060049</t>
  </si>
  <si>
    <t>DQ_NanYangZB</t>
  </si>
  <si>
    <t>南阳招标投标协会电子交易平台</t>
  </si>
  <si>
    <t>https://nanyangzb.etrading.cn/</t>
  </si>
  <si>
    <t>C2025060050</t>
  </si>
  <si>
    <t>DQ_RongZC</t>
  </si>
  <si>
    <t>融招采专区</t>
  </si>
  <si>
    <t>漯河市</t>
  </si>
  <si>
    <t>https://rongzc.etrading.cn/</t>
  </si>
  <si>
    <t>暂无</t>
  </si>
  <si>
    <t>DQ_XinZeZC</t>
  </si>
  <si>
    <t>信则招标采购电子交易平台</t>
  </si>
  <si>
    <t>C2025090021</t>
  </si>
  <si>
    <t>DQ_JZSQYSPT</t>
  </si>
  <si>
    <t>焦作市全要素阳光交易平台</t>
  </si>
  <si>
    <t>https://jiaozuoygjy.etrading.cn/</t>
  </si>
  <si>
    <t>C2025120041;A2025120162</t>
  </si>
  <si>
    <t>DQ_SMXDLZQ</t>
  </si>
  <si>
    <t>新起点招标采购平台</t>
  </si>
  <si>
    <t>三门峡市</t>
  </si>
  <si>
    <t>周心宇</t>
  </si>
  <si>
    <t>华莹</t>
  </si>
  <si>
    <t>成长期无收益(黄色)</t>
  </si>
  <si>
    <t>A2025120138</t>
  </si>
  <si>
    <t>博爱县国有资本运营集团企业招标采购平台专项</t>
  </si>
  <si>
    <t>李迪</t>
  </si>
  <si>
    <t xml:space="preserve">C2021010199 </t>
  </si>
  <si>
    <t>DQ_Shengjie</t>
  </si>
  <si>
    <t>胜捷专区</t>
  </si>
  <si>
    <t>交易云服务华南分公司</t>
  </si>
  <si>
    <t>湖北省</t>
  </si>
  <si>
    <t>宜昌市</t>
  </si>
  <si>
    <t>涂有龙</t>
  </si>
  <si>
    <t>罗永健</t>
  </si>
  <si>
    <t>王寅迟、陈强</t>
  </si>
  <si>
    <t>http://shengjie.etrading.cn</t>
  </si>
  <si>
    <t xml:space="preserve">C2020030031 </t>
  </si>
  <si>
    <t>DQ_HuaSheng</t>
  </si>
  <si>
    <t>华胜专区</t>
  </si>
  <si>
    <t>武汉市</t>
  </si>
  <si>
    <t>罗永建</t>
  </si>
  <si>
    <t>http://huasheng.etrading.cn</t>
  </si>
  <si>
    <t>C2021050021</t>
  </si>
  <si>
    <t>DQ_HengDa</t>
  </si>
  <si>
    <t>兴焱专区</t>
  </si>
  <si>
    <t>http://xingyan.etrading.cn</t>
  </si>
  <si>
    <t>C2021050007</t>
  </si>
  <si>
    <t xml:space="preserve"> DQ_ZhongYuan</t>
  </si>
  <si>
    <t>中元专区</t>
  </si>
  <si>
    <t>http://zhongyuan.etrading.cn</t>
  </si>
  <si>
    <t xml:space="preserve">C2021070003  </t>
  </si>
  <si>
    <t>DQ_ShengShi</t>
  </si>
  <si>
    <t>允舜专区</t>
  </si>
  <si>
    <t>（原盛世荣业）</t>
  </si>
  <si>
    <t>http://yunshun.etrading.cn/</t>
  </si>
  <si>
    <t>C2021080041</t>
  </si>
  <si>
    <t>DQ_HuBei</t>
  </si>
  <si>
    <t>湖北专区</t>
  </si>
  <si>
    <t>http://hubei.etrading.cn</t>
  </si>
  <si>
    <t>C2021080031</t>
  </si>
  <si>
    <t>DQ_JingRun</t>
  </si>
  <si>
    <t>景润专区</t>
  </si>
  <si>
    <t>恩施土家族苗族自治州</t>
  </si>
  <si>
    <t>http://jingrun.etrading.cn</t>
  </si>
  <si>
    <t>C2022010032</t>
  </si>
  <si>
    <t>DQ_JinMenChengKong</t>
  </si>
  <si>
    <t>荆门城控专区</t>
  </si>
  <si>
    <t>荆门市</t>
  </si>
  <si>
    <t>https://jmck.etrading.cn/</t>
  </si>
  <si>
    <t>A2022050190</t>
  </si>
  <si>
    <t>DQ_XiaoGan</t>
  </si>
  <si>
    <t>孝感市高创投资企业招采平台</t>
  </si>
  <si>
    <t>武汉分公司</t>
  </si>
  <si>
    <t>孝感市</t>
  </si>
  <si>
    <t>吴智恒</t>
  </si>
  <si>
    <t>http://xiaogan.etrading.cn/</t>
  </si>
  <si>
    <t>A2022070219</t>
  </si>
  <si>
    <t>DQ_HeFeng</t>
  </si>
  <si>
    <t>鹤峰县电子交易平台</t>
  </si>
  <si>
    <t>余意</t>
  </si>
  <si>
    <t>A2022050209</t>
  </si>
  <si>
    <t>DQ_EnShi</t>
  </si>
  <si>
    <t>恩施州分散采购电子交易平台</t>
  </si>
  <si>
    <t>A2022070192</t>
  </si>
  <si>
    <t>DQ_JianShi</t>
  </si>
  <si>
    <t>建始县分散采购电子交易平台</t>
  </si>
  <si>
    <t>A2022070062</t>
  </si>
  <si>
    <t>DQ_BaDong</t>
  </si>
  <si>
    <t>巴东县分散采购电子交易平台</t>
  </si>
  <si>
    <t>DQ_EnShiShi</t>
  </si>
  <si>
    <t>恩施市分散采购电子交易平台</t>
  </si>
  <si>
    <t>http://enshi.etrading.cn/</t>
  </si>
  <si>
    <t>B2022070049</t>
  </si>
  <si>
    <t>DQ_LiChuan</t>
  </si>
  <si>
    <t>利川市分散采购电子交易平台</t>
  </si>
  <si>
    <t>B2022080048</t>
  </si>
  <si>
    <t>DQ_XuanEn</t>
  </si>
  <si>
    <t>宣恩县分散采购电子交易平台</t>
  </si>
  <si>
    <t xml:space="preserve">C2022070024 </t>
  </si>
  <si>
    <t>DQ_HanJiang</t>
  </si>
  <si>
    <t>汉江集团专区</t>
  </si>
  <si>
    <t>十堰市</t>
  </si>
  <si>
    <t>https://hanjiang.etrading.cn/</t>
  </si>
  <si>
    <t>DQ_XiangYang</t>
  </si>
  <si>
    <t>襄阳专区</t>
  </si>
  <si>
    <t>襄阳市</t>
  </si>
  <si>
    <t>http://xiangyang.etrading.cn/</t>
  </si>
  <si>
    <t>C2023020001</t>
  </si>
  <si>
    <t>DQ_XianNingChengfa</t>
  </si>
  <si>
    <t>咸宁城发</t>
  </si>
  <si>
    <t>咸宁市</t>
  </si>
  <si>
    <t>https://xncf.etrading.cn/</t>
  </si>
  <si>
    <t>DQ_TongShanXian</t>
  </si>
  <si>
    <t>通山县分散采购电子交易平台</t>
  </si>
  <si>
    <t>通山县专区</t>
  </si>
  <si>
    <t>恩施市</t>
  </si>
  <si>
    <t>冯润波</t>
  </si>
  <si>
    <t>https://tsxfscg.etrading.cn/</t>
  </si>
  <si>
    <t>DQ_MaCheng</t>
  </si>
  <si>
    <t>麻城专区</t>
  </si>
  <si>
    <t>黄冈市</t>
  </si>
  <si>
    <t>郑勇</t>
  </si>
  <si>
    <t>王寅迟,陈强</t>
  </si>
  <si>
    <t xml:space="preserve">C2024010036 </t>
  </si>
  <si>
    <t>DQ_HBXE</t>
  </si>
  <si>
    <t>湖北省小额工程电子招标采购交易平台</t>
  </si>
  <si>
    <t>胡斌斌</t>
  </si>
  <si>
    <t>https://hjzc.etrading.cn/</t>
  </si>
  <si>
    <t>DQ_XnZfCg</t>
  </si>
  <si>
    <t>咸宁市政府采购电子交易平台</t>
  </si>
  <si>
    <t>白建业</t>
  </si>
  <si>
    <t>https://xnszfcg.etrading.cn/</t>
  </si>
  <si>
    <t>DQ_GGLJS</t>
  </si>
  <si>
    <t>光谷联交所电子交易平台</t>
  </si>
  <si>
    <t>https://guanggu.etrading.cn/</t>
  </si>
  <si>
    <t>A2024040110</t>
  </si>
  <si>
    <t>DQ_GuangShui</t>
  </si>
  <si>
    <t>广水专区</t>
  </si>
  <si>
    <t>随州市</t>
  </si>
  <si>
    <t>C2024110002</t>
  </si>
  <si>
    <t>DQ_HBJXX</t>
  </si>
  <si>
    <t>湖北津信项管理专区</t>
  </si>
  <si>
    <t>黄硕</t>
  </si>
  <si>
    <t>姚建洋</t>
  </si>
  <si>
    <t>https://hbjxx.etrading.cn/</t>
  </si>
  <si>
    <t xml:space="preserve">C2024120017 </t>
  </si>
  <si>
    <t>DQ_nzjt</t>
  </si>
  <si>
    <t>南漳建投专区</t>
  </si>
  <si>
    <t>南漳县</t>
  </si>
  <si>
    <t>李勇</t>
  </si>
  <si>
    <t>周剑</t>
  </si>
  <si>
    <t>https://nzxzbcg.etrading.cn/</t>
  </si>
  <si>
    <t>C2024120055</t>
  </si>
  <si>
    <t>DQ_WHDWYY</t>
  </si>
  <si>
    <t>武汉市第五医院线上采购系统</t>
  </si>
  <si>
    <t>蔡洪昊</t>
  </si>
  <si>
    <t>刘宇泰</t>
  </si>
  <si>
    <t>https://whsyyxscgxt.etrading.cn/</t>
  </si>
  <si>
    <t>C2025010008;
A2025010119</t>
  </si>
  <si>
    <t>中织供应链平台</t>
  </si>
  <si>
    <t>仙桃</t>
  </si>
  <si>
    <t>陆化朋</t>
  </si>
  <si>
    <t>陈强,王寅迟</t>
  </si>
  <si>
    <t>https://zzgylpt.etrading.cn/</t>
  </si>
  <si>
    <t>A2025060089;
C2025110012</t>
  </si>
  <si>
    <t>DQ_XLCFZQ</t>
  </si>
  <si>
    <t>湖北西陵城发集团专区</t>
  </si>
  <si>
    <t>何雪威</t>
  </si>
  <si>
    <t>解清烽</t>
  </si>
  <si>
    <t>https://xlcf.etrading.cn/</t>
  </si>
  <si>
    <t>已收取7w建设费</t>
  </si>
  <si>
    <t>C2025080030</t>
  </si>
  <si>
    <t>DQ_SuiZhou</t>
  </si>
  <si>
    <t>随州专区</t>
  </si>
  <si>
    <t>荣辰辰</t>
  </si>
  <si>
    <t>陈强、李潮</t>
  </si>
  <si>
    <t>https://suizhou.etrading.cn/</t>
  </si>
  <si>
    <t>C2025100014</t>
  </si>
  <si>
    <t>DQ_JMGXZQ</t>
  </si>
  <si>
    <t>荆门高新公司电子交易平台</t>
  </si>
  <si>
    <t>周恒</t>
  </si>
  <si>
    <t>http://jmgxzq.etrading.cn/</t>
  </si>
  <si>
    <t>A2025110051</t>
  </si>
  <si>
    <t>DQ_NTKJYXGSZQ</t>
  </si>
  <si>
    <t>能特科技有限公司专区</t>
  </si>
  <si>
    <t>荆州市</t>
  </si>
  <si>
    <t>胡铮</t>
  </si>
  <si>
    <t>倪昊华</t>
  </si>
  <si>
    <t>https://ntkjyxgs.etrading.cn/</t>
  </si>
  <si>
    <t>C2025120053</t>
  </si>
  <si>
    <t>DQ_LCZBCG</t>
  </si>
  <si>
    <t>利川市招标/采购（非政府采购）电子交易平台</t>
  </si>
  <si>
    <t>利川市</t>
  </si>
  <si>
    <t>https://lczbcg.etrading.cn/</t>
  </si>
  <si>
    <t>A2026010058</t>
  </si>
  <si>
    <t>DQ_YCSXTZQ</t>
  </si>
  <si>
    <t>宜昌市猇亭区国企招采专区</t>
  </si>
  <si>
    <t>宜昌市猇亭区公共资源交易中心</t>
  </si>
  <si>
    <t>https://ycxtgqzc.etrading.cn/</t>
  </si>
  <si>
    <t>C2026010017</t>
  </si>
  <si>
    <t>DQ_XNGTZQ</t>
  </si>
  <si>
    <t>咸宁高投电子交易平台</t>
  </si>
  <si>
    <t xml:space="preserve">范瑞蒙 </t>
  </si>
  <si>
    <t>https://xngtzq.etrading.cn/</t>
  </si>
  <si>
    <t>C2026010038</t>
  </si>
  <si>
    <t>DQ_XCSZHZB</t>
  </si>
  <si>
    <t>湖北香城资产运营有限公司</t>
  </si>
  <si>
    <t>香城公司数智化电子招投标采购平台</t>
  </si>
  <si>
    <t>https://hbxczczq.etrading.cn/</t>
  </si>
  <si>
    <t>C2026020004</t>
  </si>
  <si>
    <t>DQ_SYXCTZQ</t>
  </si>
  <si>
    <t>沙洋建投招采平台</t>
  </si>
  <si>
    <t>高建涛</t>
  </si>
  <si>
    <t>https://syxdzzc.etrading.cn/</t>
  </si>
  <si>
    <t>C2026030012</t>
  </si>
  <si>
    <t>咸宁市咸安区经济发展（集团)有限公司招采平台</t>
  </si>
  <si>
    <t>交易武汉分公司</t>
  </si>
  <si>
    <t>罗姬续</t>
  </si>
  <si>
    <t>收款方式</t>
  </si>
  <si>
    <t>C2023030024</t>
  </si>
  <si>
    <t>DQ_XinJiang</t>
  </si>
  <si>
    <t>新疆专区</t>
  </si>
  <si>
    <t>新疆维吾尔族自治区</t>
  </si>
  <si>
    <t>新疆</t>
  </si>
  <si>
    <t>李鹏博</t>
  </si>
  <si>
    <t>线上我司全收</t>
  </si>
  <si>
    <t>http://xinjiang.etrading.cn</t>
  </si>
  <si>
    <t>C2023110050</t>
  </si>
  <si>
    <t>DQ_YiLi</t>
  </si>
  <si>
    <t>伊犁专区</t>
  </si>
  <si>
    <t>伊宁市</t>
  </si>
  <si>
    <t>线上客户全收，线下结算</t>
  </si>
  <si>
    <t>https://yili.etrading.cn/</t>
  </si>
  <si>
    <t>C2024050023</t>
  </si>
  <si>
    <t>DQ_CJCJSZ</t>
  </si>
  <si>
    <t>昌吉城建市政招采平台</t>
  </si>
  <si>
    <t>昌吉</t>
  </si>
  <si>
    <t>https://cjcjsz.etrading.cn/</t>
  </si>
  <si>
    <t>C2025010013</t>
  </si>
  <si>
    <t>DQ_xjxy</t>
  </si>
  <si>
    <t>南疆区域招投标交易智慧平台</t>
  </si>
  <si>
    <t>喀什</t>
  </si>
  <si>
    <t>张园园</t>
  </si>
  <si>
    <t>https://nanjiang.etrading.cn/</t>
  </si>
  <si>
    <t>C2024100021</t>
  </si>
  <si>
    <t>DQ_Cjshangmao</t>
  </si>
  <si>
    <t xml:space="preserve">新疆昌隆建设招采平台 </t>
  </si>
  <si>
    <t>昌吉商贸平台</t>
  </si>
  <si>
    <t>https://xjcljs.etrading.cn/</t>
  </si>
  <si>
    <t>C2025010014</t>
  </si>
  <si>
    <t>DQ_Zhengxing</t>
  </si>
  <si>
    <t>正兴数字化交易服务平台</t>
  </si>
  <si>
    <t>乌鲁木齐</t>
  </si>
  <si>
    <t>王沈斌</t>
  </si>
  <si>
    <t>https://zhengxing.etrading.cn/</t>
  </si>
  <si>
    <t>C2024120058</t>
  </si>
  <si>
    <t>DQ_HaJian</t>
  </si>
  <si>
    <t>哈建集团电子招采平台</t>
  </si>
  <si>
    <t>哈密</t>
  </si>
  <si>
    <t>丁秀春</t>
  </si>
  <si>
    <t>https://hajian.etrading.cn/</t>
  </si>
  <si>
    <t>C2025030012</t>
  </si>
  <si>
    <t>DQ_CJGXJSCYPT</t>
  </si>
  <si>
    <t>昌吉高新技术产业招标采购平台</t>
  </si>
  <si>
    <t>昌吉回族自治州高新技术产业发展有限责任公司限额以下项目电子采购平台</t>
  </si>
  <si>
    <t>C2025040023</t>
  </si>
  <si>
    <t>DQ_MNSGTPT</t>
  </si>
  <si>
    <t>玛纳斯国投电子招标采购平台</t>
  </si>
  <si>
    <t>沈智珩</t>
  </si>
  <si>
    <t>https://mnsgt.etrading.cn/</t>
  </si>
  <si>
    <t>C2025040057</t>
  </si>
  <si>
    <t>DQ_ShangKun</t>
  </si>
  <si>
    <t>尚坤电子招标采购平台</t>
  </si>
  <si>
    <t>https://shangkun.etrading.cn/</t>
  </si>
  <si>
    <t>C2025060003</t>
  </si>
  <si>
    <t>DQ_CJZJT</t>
  </si>
  <si>
    <t>昌吉州交投平台</t>
  </si>
  <si>
    <t>昌吉州</t>
  </si>
  <si>
    <t>耿昀</t>
  </si>
  <si>
    <t>https://cjjt.etrading.cn</t>
  </si>
  <si>
    <t>C2025090047</t>
  </si>
  <si>
    <t>DQ_CJZGK</t>
  </si>
  <si>
    <t>庭州嘉泽工程招投标平台</t>
  </si>
  <si>
    <t>昌吉市国控集团平台</t>
  </si>
  <si>
    <t>https://hamisz.etrading.cn/</t>
  </si>
  <si>
    <t>C2025120025</t>
  </si>
  <si>
    <t>DQ_Hamihengrui</t>
  </si>
  <si>
    <t>哈密市恒瑞建设工程有限责任公司电子招采平台</t>
  </si>
  <si>
    <t>线上分开划转</t>
  </si>
  <si>
    <t>https://hamihengrui.etrading.cn/</t>
  </si>
  <si>
    <t>C2026020029</t>
  </si>
  <si>
    <t>DQ_QDnmytz</t>
  </si>
  <si>
    <t>奇鼎农牧业投资有限责任公司招采平台</t>
  </si>
  <si>
    <t>https://qdnmyzc.etrading.cn/</t>
  </si>
  <si>
    <t>C2026030015</t>
  </si>
  <si>
    <t>哈密市政工程招采平台</t>
  </si>
  <si>
    <t>交易云乌鲁木齐分公司</t>
  </si>
  <si>
    <t>墨玉县招采平台</t>
  </si>
  <si>
    <t>和田地区</t>
  </si>
  <si>
    <t>谭伟</t>
  </si>
  <si>
    <t>巴州政村企阳光招采平台</t>
  </si>
  <si>
    <t xml:space="preserve"> 巴音郭楞蒙古自治州</t>
  </si>
  <si>
    <t>C2021120013</t>
  </si>
  <si>
    <t>DQ_DeZhou</t>
  </si>
  <si>
    <t>德e采专区</t>
  </si>
  <si>
    <t>山东省</t>
  </si>
  <si>
    <t>德州市</t>
  </si>
  <si>
    <t>丁棋效</t>
  </si>
  <si>
    <t>张宇田</t>
  </si>
  <si>
    <t>http://dec.etrading.cn</t>
  </si>
  <si>
    <t>C202201004</t>
  </si>
  <si>
    <t>DQ_WeiFang</t>
  </si>
  <si>
    <t>潍坊专区</t>
  </si>
  <si>
    <t>潍坊市</t>
  </si>
  <si>
    <t>http://weifang.etrading.cn/</t>
  </si>
  <si>
    <t>C2022030018</t>
  </si>
  <si>
    <t>DQ_HanGuang</t>
  </si>
  <si>
    <t>瀚广专区</t>
  </si>
  <si>
    <t>淄博市</t>
  </si>
  <si>
    <t>http://hanguang.etrading.cn/</t>
  </si>
  <si>
    <t>C2022120062</t>
  </si>
  <si>
    <t>DQ_DongYin</t>
  </si>
  <si>
    <t>东营专区</t>
  </si>
  <si>
    <t>东营市</t>
  </si>
  <si>
    <t>http://dongying.etrading.cn/</t>
  </si>
  <si>
    <t>C2022100016</t>
  </si>
  <si>
    <t>DQ_WeiZe</t>
  </si>
  <si>
    <t>泰易采专区</t>
  </si>
  <si>
    <t>维泽专区</t>
  </si>
  <si>
    <t>泰安市</t>
  </si>
  <si>
    <t>https://taiyicai.etrading.cn/</t>
  </si>
  <si>
    <t>C2022120027</t>
  </si>
  <si>
    <t>DQ_JiaXin</t>
  </si>
  <si>
    <t>嘉信专区</t>
  </si>
  <si>
    <t>青岛市</t>
  </si>
  <si>
    <t>王正初</t>
  </si>
  <si>
    <t>http://jiaxin.etrading.cn/</t>
  </si>
  <si>
    <t>C2023030007</t>
  </si>
  <si>
    <t>DQ_LinRui</t>
  </si>
  <si>
    <t>临易采专区</t>
  </si>
  <si>
    <t>原临瑞专区</t>
  </si>
  <si>
    <t>临沂市</t>
  </si>
  <si>
    <t>https://linrui.etrading.cn/</t>
  </si>
  <si>
    <t>DQ_QingDao</t>
  </si>
  <si>
    <t>青岛专区</t>
  </si>
  <si>
    <t>https://qingdao.etrading.cn/</t>
  </si>
  <si>
    <t>C2023090029</t>
  </si>
  <si>
    <t>DQ_GuanZhong</t>
  </si>
  <si>
    <t>管仲专区</t>
  </si>
  <si>
    <t>https://guanzhong.etrading.cn/</t>
  </si>
  <si>
    <t xml:space="preserve">C2023110056 </t>
  </si>
  <si>
    <t>DQ_JingCheng</t>
  </si>
  <si>
    <t>景程专区</t>
  </si>
  <si>
    <t>聊城市</t>
  </si>
  <si>
    <t>https://jingcheng.etrading.cn/</t>
  </si>
  <si>
    <t>C2024020005</t>
  </si>
  <si>
    <t>DQ_TengZhao</t>
  </si>
  <si>
    <t>枣e滕电子交易平台</t>
  </si>
  <si>
    <t>枣庄市</t>
  </si>
  <si>
    <t>https://tengzhao.etrading.cn/</t>
  </si>
  <si>
    <t>C2024070012</t>
  </si>
  <si>
    <t>DQ_HeZe</t>
  </si>
  <si>
    <t>新点e交易菏泽专区</t>
  </si>
  <si>
    <t>菏泽市</t>
  </si>
  <si>
    <t>https://heze.etrading.cn/</t>
  </si>
  <si>
    <t>DQ_shandong</t>
  </si>
  <si>
    <t>新点电子交易平台山东专区</t>
  </si>
  <si>
    <t>济南市</t>
  </si>
  <si>
    <t>https://shandong.etrading.cn/</t>
  </si>
  <si>
    <t>C2024110039</t>
  </si>
  <si>
    <t>DQ_ZhiBo</t>
  </si>
  <si>
    <t>齐易采专区</t>
  </si>
  <si>
    <t>淄博专区</t>
  </si>
  <si>
    <t xml:space="preserve">刘基树 </t>
  </si>
  <si>
    <t>https://zibo.etrading.cn/</t>
  </si>
  <si>
    <t>C2024110036</t>
  </si>
  <si>
    <t>DQ_HuaChenZhongDa</t>
  </si>
  <si>
    <t>华辰中大电子交易平台</t>
  </si>
  <si>
    <t xml:space="preserve">周皓 </t>
  </si>
  <si>
    <t>https://hczd.etrading.cn/</t>
  </si>
  <si>
    <t>C2025030032</t>
  </si>
  <si>
    <t>DQ_shandongsx</t>
  </si>
  <si>
    <t>山东卓舜电子交易平台</t>
  </si>
  <si>
    <t>济南</t>
  </si>
  <si>
    <t>刘天华</t>
  </si>
  <si>
    <t>https://shandongsx.etrading.cn/</t>
  </si>
  <si>
    <t>A2025040052</t>
  </si>
  <si>
    <t>bzslgcpt</t>
  </si>
  <si>
    <t>滨州市水利工程有限公司企业招采平台</t>
  </si>
  <si>
    <t>济南分公司</t>
  </si>
  <si>
    <t>滨州市</t>
  </si>
  <si>
    <t>王建富</t>
  </si>
  <si>
    <t>刘基树</t>
  </si>
  <si>
    <t xml:space="preserve">巫志宏 </t>
  </si>
  <si>
    <t>http://bzsl.etrading.cn</t>
  </si>
  <si>
    <t>C2025100016</t>
  </si>
  <si>
    <t>DQ_HZ</t>
  </si>
  <si>
    <t>菏泽专区</t>
  </si>
  <si>
    <t>徐振荣</t>
  </si>
  <si>
    <t>于建源</t>
  </si>
  <si>
    <t>http://hezezq.etrading.cn/</t>
  </si>
  <si>
    <t>C2025120004</t>
  </si>
  <si>
    <t>DQ_SDBXZQ</t>
  </si>
  <si>
    <t>山东鸿集电子交易平台</t>
  </si>
  <si>
    <t>施佳浩</t>
  </si>
  <si>
    <t>http://sdhj.etrading.cn</t>
  </si>
  <si>
    <t>C2025120045</t>
  </si>
  <si>
    <t>DQ_SDHZZQ</t>
  </si>
  <si>
    <t>山东华正电子交易平台</t>
  </si>
  <si>
    <t>陈涛</t>
  </si>
  <si>
    <t>https://sdhzzq.etrading.cn/</t>
  </si>
  <si>
    <t>C2021080028</t>
  </si>
  <si>
    <t>DQ_ZaoZhuang</t>
  </si>
  <si>
    <t>五易数云</t>
  </si>
  <si>
    <t>http://wysy.etrading.cn/</t>
  </si>
  <si>
    <t>C2025120046</t>
  </si>
  <si>
    <t>DQ_sdak</t>
  </si>
  <si>
    <t>山东安康电子交易平台</t>
  </si>
  <si>
    <t>https://sdak.etrading.cn/</t>
  </si>
  <si>
    <t>C2026010026</t>
  </si>
  <si>
    <t>DQ_ZJXAZQZQ</t>
  </si>
  <si>
    <t>中技兴安电子交易平台</t>
  </si>
  <si>
    <t>于建源/庞鑫</t>
  </si>
  <si>
    <t>https://zjxapt.etrading.cn</t>
  </si>
  <si>
    <t>C2026010027</t>
  </si>
  <si>
    <t>DQ_sdtx</t>
  </si>
  <si>
    <t>山东同信电子交易平台</t>
  </si>
  <si>
    <t>杨广磊</t>
  </si>
  <si>
    <t>张丕振</t>
  </si>
  <si>
    <t>https://sdtx.etrading.cn/</t>
  </si>
  <si>
    <t>C2026010025</t>
  </si>
  <si>
    <t>DQ_SDYLPT</t>
  </si>
  <si>
    <t>山东悦龙电子交易平台</t>
  </si>
  <si>
    <t>https://sdylpt.etrading.cn/</t>
  </si>
  <si>
    <t>C2022120057;B2025120073</t>
  </si>
  <si>
    <t>DQ_ZGMH</t>
  </si>
  <si>
    <t>中国民航专区</t>
  </si>
  <si>
    <t>北京市</t>
  </si>
  <si>
    <t>通州区</t>
  </si>
  <si>
    <t>https://zgmh.etrading.cn/</t>
  </si>
  <si>
    <t>C2023040010</t>
  </si>
  <si>
    <t>DQ_TianJin</t>
  </si>
  <si>
    <t>津e采</t>
  </si>
  <si>
    <t>天津专区</t>
  </si>
  <si>
    <t>天津市</t>
  </si>
  <si>
    <t>https://www.jinecai.cn/</t>
  </si>
  <si>
    <t>项目名称</t>
  </si>
  <si>
    <t>省</t>
  </si>
  <si>
    <t>市</t>
  </si>
  <si>
    <t>负责人</t>
  </si>
  <si>
    <t>阶段</t>
  </si>
  <si>
    <t>已收建设费</t>
  </si>
  <si>
    <t>C2021060008</t>
  </si>
  <si>
    <t>河南豫信电子化招标采购平台</t>
  </si>
  <si>
    <t>河南</t>
  </si>
  <si>
    <t>郑州</t>
  </si>
  <si>
    <t>营运</t>
  </si>
  <si>
    <t>C2025070019</t>
  </si>
  <si>
    <t>金水投资集团电子招采平台建设运营项目</t>
  </si>
  <si>
    <t>彭江涛</t>
  </si>
  <si>
    <t>C2025070041;A2025070064;A2025030199</t>
  </si>
  <si>
    <t>河南省机电设备国际招标有限公司门户网站及业务管理系统升级改造项目</t>
  </si>
  <si>
    <t>罗志郸</t>
  </si>
  <si>
    <t>A2025120064</t>
  </si>
  <si>
    <t>河南豫光金铅“招采平台”租赁运营项目</t>
  </si>
  <si>
    <t>A2025040107</t>
  </si>
  <si>
    <t>孝感市长兴投资有限公司电子交易采购系统租赁项目</t>
  </si>
  <si>
    <t>湖北</t>
  </si>
  <si>
    <t>孝感</t>
  </si>
  <si>
    <t>A2025090082</t>
  </si>
  <si>
    <t>山东历城城发招采管理平台</t>
  </si>
  <si>
    <t>A2025120281</t>
  </si>
  <si>
    <t>山东微矿集团电子化采购招标系统项目</t>
  </si>
  <si>
    <t>济宁市</t>
  </si>
  <si>
    <t>赵简</t>
  </si>
  <si>
    <t>A2025040075</t>
  </si>
  <si>
    <t>大连国企阳光采购服务平台整体升级服务采购项目</t>
  </si>
  <si>
    <t>辽宁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</si>
</sst>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3">
    <font>
      <sz val="11"/>
      <color theme="1"/>
      <name val="宋体"/>
      <charset val="134"/>
      <scheme val="minor"/>
    </font>
    <font>
      <sz val="11"/>
      <color rgb="FF000000"/>
      <name val="宋体"/>
      <charset val="134"/>
    </font>
    <font>
      <sz val="11"/>
      <color rgb="FF000000"/>
      <name val="宋体"/>
      <charset val="134"/>
      <scheme val="minor"/>
    </font>
    <font>
      <u/>
      <sz val="11"/>
      <color rgb="FF0000FF"/>
      <name val="宋体"/>
      <charset val="0"/>
      <scheme val="minor"/>
    </font>
    <font>
      <sz val="10"/>
      <color rgb="FF00000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5" fillId="0" borderId="0">
      <alignment vertical="center"/>
    </xf>
    <xf numFmtId="0" fontId="0" fillId="4"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5" borderId="4">
      <alignment vertical="center"/>
    </xf>
    <xf numFmtId="0" fontId="13" fillId="6" borderId="5">
      <alignment vertical="center"/>
    </xf>
    <xf numFmtId="0" fontId="14" fillId="6" borderId="4">
      <alignment vertical="center"/>
    </xf>
    <xf numFmtId="0" fontId="15" fillId="7" borderId="6">
      <alignment vertical="center"/>
    </xf>
    <xf numFmtId="0" fontId="16" fillId="0" borderId="7">
      <alignment vertical="center"/>
    </xf>
    <xf numFmtId="0" fontId="17" fillId="0" borderId="8">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2" fillId="13" borderId="0">
      <alignment vertical="center"/>
    </xf>
    <xf numFmtId="0" fontId="21" fillId="14" borderId="0">
      <alignment vertical="center"/>
    </xf>
    <xf numFmtId="0" fontId="21" fillId="15" borderId="0">
      <alignment vertical="center"/>
    </xf>
    <xf numFmtId="0" fontId="22" fillId="16" borderId="0">
      <alignment vertical="center"/>
    </xf>
    <xf numFmtId="0" fontId="22" fillId="17" borderId="0">
      <alignment vertical="center"/>
    </xf>
    <xf numFmtId="0" fontId="21" fillId="18" borderId="0">
      <alignment vertical="center"/>
    </xf>
    <xf numFmtId="0" fontId="21" fillId="19" borderId="0">
      <alignment vertical="center"/>
    </xf>
    <xf numFmtId="0" fontId="22" fillId="20" borderId="0">
      <alignment vertical="center"/>
    </xf>
    <xf numFmtId="0" fontId="22" fillId="21" borderId="0">
      <alignment vertical="center"/>
    </xf>
    <xf numFmtId="0" fontId="21" fillId="22" borderId="0">
      <alignment vertical="center"/>
    </xf>
    <xf numFmtId="0" fontId="21" fillId="23" borderId="0">
      <alignment vertical="center"/>
    </xf>
    <xf numFmtId="0" fontId="22" fillId="24" borderId="0">
      <alignment vertical="center"/>
    </xf>
    <xf numFmtId="0" fontId="22" fillId="25" borderId="0">
      <alignment vertical="center"/>
    </xf>
    <xf numFmtId="0" fontId="21" fillId="26" borderId="0">
      <alignment vertical="center"/>
    </xf>
    <xf numFmtId="0" fontId="21" fillId="27" borderId="0">
      <alignment vertical="center"/>
    </xf>
    <xf numFmtId="0" fontId="22" fillId="28" borderId="0">
      <alignment vertical="center"/>
    </xf>
    <xf numFmtId="0" fontId="22" fillId="29" borderId="0">
      <alignment vertical="center"/>
    </xf>
    <xf numFmtId="0" fontId="21" fillId="30" borderId="0">
      <alignment vertical="center"/>
    </xf>
    <xf numFmtId="0" fontId="21" fillId="31" borderId="0">
      <alignment vertical="center"/>
    </xf>
    <xf numFmtId="0" fontId="22" fillId="32" borderId="0">
      <alignment vertical="center"/>
    </xf>
    <xf numFmtId="0" fontId="22" fillId="33" borderId="0">
      <alignment vertical="center"/>
    </xf>
    <xf numFmtId="0" fontId="21" fillId="34" borderId="0">
      <alignment vertical="center"/>
    </xf>
  </cellStyleXfs>
  <cellXfs count="16">
    <xf numFmtId="0" fontId="0" fillId="0" borderId="0" xfId="0"/>
    <xf numFmtId="176" fontId="0" fillId="0" borderId="0" xfId="0" applyNumberFormat="1"/>
    <xf numFmtId="0" fontId="1" fillId="0" borderId="0" xfId="0" applyFont="1" applyAlignment="1">
      <alignment wrapText="1"/>
    </xf>
    <xf numFmtId="0" fontId="1" fillId="0" borderId="0" xfId="0" applyFont="1"/>
    <xf numFmtId="0" fontId="0" fillId="2" borderId="0" xfId="0" applyFill="1"/>
    <xf numFmtId="176" fontId="0" fillId="2" borderId="0" xfId="0" applyNumberFormat="1" applyFill="1"/>
    <xf numFmtId="0" fontId="0" fillId="3" borderId="0" xfId="0" applyFill="1"/>
    <xf numFmtId="0" fontId="2" fillId="0" borderId="0" xfId="0" applyFont="1" applyAlignment="1">
      <alignment horizontal="right" wrapText="1"/>
    </xf>
    <xf numFmtId="0" fontId="3" fillId="0" borderId="0" xfId="6">
      <alignment vertical="center"/>
    </xf>
    <xf numFmtId="0" fontId="0" fillId="0" borderId="0" xfId="0" applyAlignment="1">
      <alignment wrapText="1"/>
    </xf>
    <xf numFmtId="0" fontId="0" fillId="3" borderId="0" xfId="0" applyFill="1" applyAlignment="1">
      <alignment wrapText="1"/>
    </xf>
    <xf numFmtId="0" fontId="1" fillId="2" borderId="0" xfId="0" applyFont="1" applyFill="1"/>
    <xf numFmtId="0" fontId="4" fillId="2" borderId="0" xfId="0" applyFont="1" applyFill="1" applyAlignment="1">
      <alignment horizontal="left" vertical="center" wrapText="1"/>
    </xf>
    <xf numFmtId="0" fontId="1" fillId="0" borderId="0" xfId="0" applyFont="1" applyAlignment="1">
      <alignment wrapText="1"/>
    </xf>
    <xf numFmtId="0" fontId="4" fillId="0" borderId="0" xfId="0" applyFont="1" applyAlignment="1">
      <alignment horizontal="left" vertical="center" wrapText="1"/>
    </xf>
    <xf numFmtId="0" fontId="3" fillId="2" borderId="0" xfId="6"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22" dbFileVersion="0">
    <open main="62" threadCnt="1"/>
    <sheetInfos>
      <sheetInfo cellCmpFml="2" sheetStid="1">
        <open threadCnt="1"/>
      </sheetInfo>
      <sheetInfo cellCmpFml="2" sheetStid="2">
        <open threadCnt="1"/>
      </sheetInfo>
      <sheetInfo cellCmpFml="2" sheetStid="3">
        <open main="1" threadCnt="1"/>
      </sheetInfo>
      <sheetInfo cellCmpFml="2" sheetStid="4">
        <open main="1" threadCnt="1"/>
      </sheetInfo>
      <sheetInfo cellCmpFml="2" sheetStid="5">
        <open main="2" threadCnt="1"/>
      </sheetInfo>
      <sheetInfo cellCmpFml="2" sheetStid="6">
        <open main="2" threadCnt="1"/>
      </sheetInfo>
      <sheetInfo cellCmpFml="2" sheetStid="7">
        <open main="1" threadCnt="1"/>
      </sheetInfo>
      <sheetInfo cellCmpFml="2" sheetStid="8">
        <open main="1" threadCnt="1"/>
      </sheetInfo>
      <sheetInfo cellCmpFml="2" sheetStid="9">
        <open threadCnt="1"/>
      </sheetInfo>
      <sheetInfo cellCmpFml="2" sheetStid="10">
        <open threadCnt="1"/>
      </sheetInfo>
      <sheetInfo cellCmpFml="2" sheetStid="11">
        <open main="1"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www.wps.cn/officeDocument/2023/relationships/woinfos" Target="woinfos.xml"/><Relationship Id="rId17" Type="http://schemas.openxmlformats.org/officeDocument/2006/relationships/styles" Target="styles.xml"/><Relationship Id="rId16" Type="http://schemas.openxmlformats.org/officeDocument/2006/relationships/customXml" Target="../customXml/item2.xml"/><Relationship Id="rId15" Type="http://schemas.openxmlformats.org/officeDocument/2006/relationships/customXml" Target="../customXml/item1.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4" Type="http://schemas.openxmlformats.org/officeDocument/2006/relationships/hyperlink" Target="https://shijiazhuangdt.etrading.cn/" TargetMode="External"/><Relationship Id="rId3" Type="http://schemas.openxmlformats.org/officeDocument/2006/relationships/hyperlink" Target="https://cdswzq.etrading.cn/" TargetMode="External"/><Relationship Id="rId2" Type="http://schemas.openxmlformats.org/officeDocument/2006/relationships/hyperlink" Target="https://qhdgzzc.etrading.cn/" TargetMode="External"/><Relationship Id="rId1" Type="http://schemas.openxmlformats.org/officeDocument/2006/relationships/hyperlink" Target="https://zjksdyyyzbcg.etrading.cn/"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jiaozuoygjy.etrading.cn/" TargetMode="External"/><Relationship Id="rId2" Type="http://schemas.openxmlformats.org/officeDocument/2006/relationships/hyperlink" Target="https://anyangnccq.etrading.cn/" TargetMode="External"/><Relationship Id="rId1" Type="http://schemas.openxmlformats.org/officeDocument/2006/relationships/hyperlink" Target="https://xinyangweb.etrading.c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uanggu.etrading.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
  <sheetViews>
    <sheetView workbookViewId="0">
      <selection activeCell="C13" sqref="C13"/>
    </sheetView>
  </sheetViews>
  <sheetFormatPr defaultColWidth="9" defaultRowHeight="13.5" outlineLevelRow="1"/>
  <cols>
    <col min="1" max="1" width="15.3666666666667" customWidth="1"/>
    <col min="2" max="2" width="18.8416666666667" customWidth="1"/>
    <col min="3" max="3" width="42.0083333333333" customWidth="1"/>
    <col min="7" max="7" width="28.7916666666667" customWidth="1"/>
    <col min="15" max="15" width="28.4166666666667" customWidth="1"/>
    <col min="17" max="17" width="27.1083333333333" customWidth="1"/>
    <col min="27" max="27" width="18.9083333333333"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s="6" t="s">
        <v>29</v>
      </c>
      <c r="B2" s="6" t="s">
        <v>30</v>
      </c>
      <c r="C2" s="6" t="s">
        <v>31</v>
      </c>
      <c r="D2" t="s">
        <v>32</v>
      </c>
      <c r="F2" t="s">
        <v>33</v>
      </c>
      <c r="G2" t="s">
        <v>34</v>
      </c>
      <c r="H2" t="s">
        <v>35</v>
      </c>
      <c r="I2" t="s">
        <v>36</v>
      </c>
      <c r="J2" t="s">
        <v>37</v>
      </c>
      <c r="K2" t="s">
        <v>38</v>
      </c>
      <c r="L2" t="s">
        <v>39</v>
      </c>
      <c r="M2" t="s">
        <v>40</v>
      </c>
      <c r="N2" t="s">
        <v>41</v>
      </c>
      <c r="O2" s="1">
        <v>45765</v>
      </c>
      <c r="P2" t="str">
        <f ca="1">IF(O2="","",IF(DATEDIF(O2,NOW(),"Y")&gt;0,DATEDIF(O2,NOW(),"Y")&amp;"年","")&amp;IF(DATEDIF(O2,NOW(),"YM")&gt;0,DATEDIF(O2,NOW(),"YM")&amp;"月","")&amp;DATEDIF(O2,NOW(),"MD")&amp;"天")</f>
        <v>11月13天</v>
      </c>
      <c r="Q2" s="1">
        <v>45786</v>
      </c>
      <c r="R2" t="str">
        <f ca="1">IF(Q2="","",IF(DATEDIF(Q2,NOW(),"Y")&gt;0,DATEDIF(Q2,NOW(),"Y")&amp;"年","")&amp;IF(DATEDIF(Q2,NOW(),"YM")&gt;0,DATEDIF(Q2,NOW(),"YM")&amp;"月","")&amp;DATEDIF(Q2,NOW(),"MD")&amp;"天")</f>
        <v>10月22天</v>
      </c>
      <c r="S2" t="s">
        <v>42</v>
      </c>
      <c r="T2">
        <v>0</v>
      </c>
      <c r="U2">
        <v>0</v>
      </c>
      <c r="V2">
        <v>1700</v>
      </c>
      <c r="W2" t="s">
        <v>43</v>
      </c>
      <c r="X2">
        <v>5</v>
      </c>
      <c r="Y2">
        <v>2</v>
      </c>
      <c r="Z2">
        <v>27578.85</v>
      </c>
      <c r="AA2">
        <v>2364.9</v>
      </c>
      <c r="AB2" t="s">
        <v>44</v>
      </c>
      <c r="AC2" t="s">
        <v>45</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9"/>
  <sheetViews>
    <sheetView workbookViewId="0">
      <selection activeCell="AD1" sqref="AD1:AD2"/>
    </sheetView>
  </sheetViews>
  <sheetFormatPr defaultColWidth="9" defaultRowHeight="13.5"/>
  <cols>
    <col min="1" max="1" width="20.6833333333333" customWidth="1"/>
    <col min="10" max="10" width="25.0916666666667" customWidth="1"/>
    <col min="15" max="15" width="24.475" customWidth="1"/>
    <col min="20" max="21" width="13.125" customWidth="1"/>
    <col min="22" max="22" width="16.525" customWidth="1"/>
    <col min="28" max="28" width="24.4666666666667" customWidth="1"/>
  </cols>
  <sheetData>
    <row r="1" spans="1:28">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46</v>
      </c>
      <c r="B2" t="s">
        <v>47</v>
      </c>
      <c r="C2" t="s">
        <v>48</v>
      </c>
      <c r="F2" t="s">
        <v>33</v>
      </c>
      <c r="G2" t="s">
        <v>49</v>
      </c>
      <c r="H2" t="s">
        <v>50</v>
      </c>
      <c r="I2" t="s">
        <v>51</v>
      </c>
      <c r="J2" t="s">
        <v>52</v>
      </c>
      <c r="L2" t="s">
        <v>53</v>
      </c>
      <c r="M2" t="s">
        <v>54</v>
      </c>
      <c r="N2" t="s">
        <v>55</v>
      </c>
      <c r="O2" s="1">
        <v>45043</v>
      </c>
      <c r="P2" t="str">
        <f ca="1" t="shared" ref="P2:P9" si="0">IF(O2="","",IF(DATEDIF(O2,NOW(),"Y")&gt;0,DATEDIF(O2,NOW(),"Y")&amp;"年","")&amp;IF(DATEDIF(O2,NOW(),"YM")&gt;0,DATEDIF(O2,NOW(),"YM")&amp;"月","")&amp;DATEDIF(O2,NOW(),"MD")&amp;"天")</f>
        <v>2年11月4天</v>
      </c>
      <c r="Q2" s="1">
        <v>45075</v>
      </c>
      <c r="R2" t="str">
        <f ca="1" t="shared" ref="R2:R9" si="1">IF(Q2="","",IF(DATEDIF(Q2,NOW(),"Y")&gt;0,DATEDIF(Q2,NOW(),"Y")&amp;"年","")&amp;IF(DATEDIF(Q2,NOW(),"YM")&gt;0,DATEDIF(Q2,NOW(),"YM")&amp;"月","")&amp;DATEDIF(Q2,NOW(),"MD")&amp;"天")</f>
        <v>2年10月2天</v>
      </c>
      <c r="S2" t="s">
        <v>42</v>
      </c>
      <c r="T2">
        <v>0</v>
      </c>
      <c r="U2">
        <v>0</v>
      </c>
      <c r="V2">
        <v>1950</v>
      </c>
      <c r="W2" t="s">
        <v>56</v>
      </c>
      <c r="X2">
        <v>0</v>
      </c>
      <c r="Y2">
        <v>0</v>
      </c>
      <c r="AB2" t="s">
        <v>57</v>
      </c>
    </row>
    <row r="3" spans="1:28">
      <c r="A3" t="s">
        <v>58</v>
      </c>
      <c r="B3" t="s">
        <v>59</v>
      </c>
      <c r="C3" t="s">
        <v>60</v>
      </c>
      <c r="E3" t="s">
        <v>32</v>
      </c>
      <c r="F3" t="s">
        <v>33</v>
      </c>
      <c r="G3" t="s">
        <v>34</v>
      </c>
      <c r="H3" t="s">
        <v>50</v>
      </c>
      <c r="I3" t="s">
        <v>61</v>
      </c>
      <c r="J3" t="s">
        <v>52</v>
      </c>
      <c r="K3" t="s">
        <v>53</v>
      </c>
      <c r="L3" t="s">
        <v>53</v>
      </c>
      <c r="M3" t="s">
        <v>40</v>
      </c>
      <c r="N3" t="s">
        <v>41</v>
      </c>
      <c r="O3" s="1">
        <v>45145</v>
      </c>
      <c r="P3" t="str">
        <f ca="1" t="shared" si="0"/>
        <v>2年7月24天</v>
      </c>
      <c r="Q3" s="1">
        <v>45205</v>
      </c>
      <c r="R3" t="str">
        <f ca="1" t="shared" si="1"/>
        <v>2年5月25天</v>
      </c>
      <c r="S3" t="s">
        <v>42</v>
      </c>
      <c r="V3" t="s">
        <v>62</v>
      </c>
      <c r="W3" t="s">
        <v>63</v>
      </c>
      <c r="X3">
        <v>0</v>
      </c>
      <c r="Y3">
        <v>0</v>
      </c>
      <c r="AB3" t="s">
        <v>44</v>
      </c>
    </row>
    <row r="4" spans="1:28">
      <c r="A4" s="6" t="s">
        <v>64</v>
      </c>
      <c r="B4" s="6" t="s">
        <v>65</v>
      </c>
      <c r="C4" s="6" t="s">
        <v>66</v>
      </c>
      <c r="D4" s="6"/>
      <c r="F4" t="s">
        <v>33</v>
      </c>
      <c r="G4" t="s">
        <v>67</v>
      </c>
      <c r="H4" t="s">
        <v>50</v>
      </c>
      <c r="I4" t="s">
        <v>68</v>
      </c>
      <c r="J4" t="s">
        <v>52</v>
      </c>
      <c r="K4" t="s">
        <v>69</v>
      </c>
      <c r="L4" t="s">
        <v>53</v>
      </c>
      <c r="M4" t="s">
        <v>70</v>
      </c>
      <c r="O4" s="1">
        <v>45509</v>
      </c>
      <c r="P4" t="str">
        <f ca="1" t="shared" si="0"/>
        <v>1年7月26天</v>
      </c>
      <c r="Q4" s="1">
        <v>45520</v>
      </c>
      <c r="R4" t="str">
        <f ca="1" t="shared" si="1"/>
        <v>1年7月15天</v>
      </c>
      <c r="S4" t="s">
        <v>71</v>
      </c>
      <c r="T4">
        <v>0</v>
      </c>
      <c r="U4">
        <v>0</v>
      </c>
      <c r="V4" s="3">
        <v>0</v>
      </c>
      <c r="W4" t="s">
        <v>72</v>
      </c>
      <c r="X4">
        <v>0</v>
      </c>
      <c r="Y4">
        <v>0</v>
      </c>
      <c r="Z4">
        <v>1709.82</v>
      </c>
      <c r="AB4" t="s">
        <v>44</v>
      </c>
    </row>
    <row r="5" spans="1:28">
      <c r="A5" t="s">
        <v>73</v>
      </c>
      <c r="B5" t="s">
        <v>74</v>
      </c>
      <c r="C5" t="s">
        <v>75</v>
      </c>
      <c r="F5" t="s">
        <v>76</v>
      </c>
      <c r="G5" t="s">
        <v>67</v>
      </c>
      <c r="H5" t="s">
        <v>50</v>
      </c>
      <c r="J5" t="s">
        <v>52</v>
      </c>
      <c r="K5" t="s">
        <v>69</v>
      </c>
      <c r="L5" t="s">
        <v>53</v>
      </c>
      <c r="M5" t="s">
        <v>77</v>
      </c>
      <c r="N5" t="s">
        <v>78</v>
      </c>
      <c r="O5" s="1">
        <v>45573</v>
      </c>
      <c r="P5" t="str">
        <f ca="1" t="shared" si="0"/>
        <v>1年5月23天</v>
      </c>
      <c r="Q5" s="1">
        <v>45590</v>
      </c>
      <c r="R5" t="str">
        <f ca="1" t="shared" si="1"/>
        <v>1年5月6天</v>
      </c>
      <c r="S5" t="s">
        <v>71</v>
      </c>
      <c r="T5">
        <v>0</v>
      </c>
      <c r="U5">
        <v>0</v>
      </c>
      <c r="V5">
        <v>0</v>
      </c>
      <c r="W5" t="s">
        <v>79</v>
      </c>
      <c r="X5">
        <v>0</v>
      </c>
      <c r="Y5">
        <v>0</v>
      </c>
      <c r="Z5">
        <v>44794.02</v>
      </c>
      <c r="AB5" t="s">
        <v>44</v>
      </c>
    </row>
    <row r="6" spans="1:28">
      <c r="A6" t="s">
        <v>80</v>
      </c>
      <c r="B6" t="s">
        <v>81</v>
      </c>
      <c r="C6" t="s">
        <v>82</v>
      </c>
      <c r="E6" t="s">
        <v>32</v>
      </c>
      <c r="F6" t="s">
        <v>33</v>
      </c>
      <c r="G6" t="s">
        <v>83</v>
      </c>
      <c r="H6" t="s">
        <v>50</v>
      </c>
      <c r="I6" t="s">
        <v>61</v>
      </c>
      <c r="J6" t="s">
        <v>37</v>
      </c>
      <c r="K6" t="s">
        <v>84</v>
      </c>
      <c r="L6" t="s">
        <v>85</v>
      </c>
      <c r="M6" t="s">
        <v>86</v>
      </c>
      <c r="O6" s="1">
        <v>45674</v>
      </c>
      <c r="P6" t="str">
        <f ca="1" t="shared" si="0"/>
        <v>1年2月14天</v>
      </c>
      <c r="Q6" s="1">
        <v>45702</v>
      </c>
      <c r="R6" t="str">
        <f ca="1" t="shared" si="1"/>
        <v>1年1月17天</v>
      </c>
      <c r="S6" t="s">
        <v>42</v>
      </c>
      <c r="T6">
        <v>73160</v>
      </c>
      <c r="U6">
        <v>12300</v>
      </c>
      <c r="V6">
        <v>85460</v>
      </c>
      <c r="W6" t="s">
        <v>87</v>
      </c>
      <c r="X6">
        <v>0</v>
      </c>
      <c r="Y6">
        <v>0</v>
      </c>
      <c r="Z6">
        <v>39248.16</v>
      </c>
      <c r="AA6">
        <v>14898.01</v>
      </c>
      <c r="AB6" t="s">
        <v>88</v>
      </c>
    </row>
    <row r="7" spans="1:28">
      <c r="A7" t="s">
        <v>89</v>
      </c>
      <c r="B7" t="s">
        <v>90</v>
      </c>
      <c r="C7" t="s">
        <v>91</v>
      </c>
      <c r="F7" t="s">
        <v>33</v>
      </c>
      <c r="G7" t="s">
        <v>34</v>
      </c>
      <c r="H7" t="s">
        <v>50</v>
      </c>
      <c r="I7" t="s">
        <v>92</v>
      </c>
      <c r="J7" t="s">
        <v>37</v>
      </c>
      <c r="K7" t="s">
        <v>93</v>
      </c>
      <c r="L7" t="s">
        <v>94</v>
      </c>
      <c r="M7" t="s">
        <v>95</v>
      </c>
      <c r="N7" t="s">
        <v>41</v>
      </c>
      <c r="O7" s="1">
        <v>45796</v>
      </c>
      <c r="P7" t="str">
        <f ca="1" t="shared" si="0"/>
        <v>10月12天</v>
      </c>
      <c r="R7" t="str">
        <f ca="1" t="shared" si="1"/>
        <v/>
      </c>
      <c r="S7" t="s">
        <v>71</v>
      </c>
      <c r="T7">
        <v>0</v>
      </c>
      <c r="U7">
        <v>0</v>
      </c>
      <c r="V7">
        <v>0</v>
      </c>
      <c r="Z7">
        <v>4545.19</v>
      </c>
      <c r="AB7" t="s">
        <v>96</v>
      </c>
    </row>
    <row r="8" spans="1:28">
      <c r="A8" t="s">
        <v>97</v>
      </c>
      <c r="B8" t="s">
        <v>98</v>
      </c>
      <c r="C8" t="s">
        <v>99</v>
      </c>
      <c r="D8" t="s">
        <v>100</v>
      </c>
      <c r="E8" t="s">
        <v>32</v>
      </c>
      <c r="F8" t="s">
        <v>76</v>
      </c>
      <c r="G8" t="s">
        <v>34</v>
      </c>
      <c r="H8" t="s">
        <v>50</v>
      </c>
      <c r="I8" t="s">
        <v>61</v>
      </c>
      <c r="J8" t="s">
        <v>37</v>
      </c>
      <c r="K8" t="s">
        <v>84</v>
      </c>
      <c r="L8" t="s">
        <v>101</v>
      </c>
      <c r="M8" t="s">
        <v>40</v>
      </c>
      <c r="N8" t="s">
        <v>41</v>
      </c>
      <c r="O8" s="1">
        <v>45971</v>
      </c>
      <c r="P8" t="str">
        <f ca="1" t="shared" si="0"/>
        <v>4月21天</v>
      </c>
      <c r="Q8" s="1">
        <v>45975</v>
      </c>
      <c r="R8" t="str">
        <f ca="1" t="shared" si="1"/>
        <v>4月17天</v>
      </c>
      <c r="S8" t="s">
        <v>71</v>
      </c>
      <c r="T8">
        <v>0</v>
      </c>
      <c r="U8">
        <v>0</v>
      </c>
      <c r="V8">
        <v>0</v>
      </c>
      <c r="W8" t="s">
        <v>102</v>
      </c>
      <c r="X8">
        <v>0</v>
      </c>
      <c r="Y8">
        <v>0</v>
      </c>
      <c r="Z8">
        <v>81327.64</v>
      </c>
      <c r="AA8">
        <v>322.06</v>
      </c>
      <c r="AB8" t="s">
        <v>103</v>
      </c>
    </row>
    <row r="9" spans="1:28">
      <c r="A9" t="s">
        <v>104</v>
      </c>
      <c r="B9" t="s">
        <v>105</v>
      </c>
      <c r="C9" t="s">
        <v>106</v>
      </c>
      <c r="D9" t="s">
        <v>107</v>
      </c>
      <c r="E9" t="s">
        <v>32</v>
      </c>
      <c r="F9" t="s">
        <v>33</v>
      </c>
      <c r="G9" t="s">
        <v>34</v>
      </c>
      <c r="H9" t="s">
        <v>50</v>
      </c>
      <c r="I9" t="s">
        <v>61</v>
      </c>
      <c r="J9" t="s">
        <v>108</v>
      </c>
      <c r="K9" t="s">
        <v>84</v>
      </c>
      <c r="M9" t="s">
        <v>109</v>
      </c>
      <c r="N9" t="s">
        <v>110</v>
      </c>
      <c r="O9" s="1">
        <v>46030</v>
      </c>
      <c r="P9" t="str">
        <f ca="1" t="shared" si="0"/>
        <v>2月23天</v>
      </c>
      <c r="R9" t="str">
        <f ca="1" t="shared" si="1"/>
        <v/>
      </c>
      <c r="S9" t="s">
        <v>111</v>
      </c>
      <c r="T9">
        <v>0</v>
      </c>
      <c r="U9">
        <v>0</v>
      </c>
      <c r="V9">
        <v>0</v>
      </c>
      <c r="W9" t="s">
        <v>112</v>
      </c>
      <c r="X9">
        <v>0</v>
      </c>
      <c r="Y9">
        <v>0</v>
      </c>
      <c r="Z9">
        <v>9811.58</v>
      </c>
      <c r="AB9"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4"/>
  <sheetViews>
    <sheetView workbookViewId="0">
      <selection activeCell="A10" sqref="A10:C10"/>
    </sheetView>
  </sheetViews>
  <sheetFormatPr defaultColWidth="9" defaultRowHeight="13.5"/>
  <cols>
    <col min="3" max="3" width="18.3666666666667" customWidth="1"/>
    <col min="10" max="10" width="25.5" customWidth="1"/>
    <col min="15" max="15" width="27.75" customWidth="1"/>
    <col min="20" max="20" width="15.975" customWidth="1"/>
    <col min="22" max="22" width="17.2166666666667" customWidth="1"/>
  </cols>
  <sheetData>
    <row r="1" spans="1:28">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113</v>
      </c>
      <c r="B2" t="s">
        <v>114</v>
      </c>
      <c r="C2" t="s">
        <v>115</v>
      </c>
      <c r="F2" t="s">
        <v>33</v>
      </c>
      <c r="G2" t="s">
        <v>34</v>
      </c>
      <c r="H2" t="s">
        <v>116</v>
      </c>
      <c r="I2" t="s">
        <v>117</v>
      </c>
      <c r="J2" t="s">
        <v>37</v>
      </c>
      <c r="L2" t="s">
        <v>39</v>
      </c>
      <c r="M2" t="s">
        <v>118</v>
      </c>
      <c r="N2" t="s">
        <v>41</v>
      </c>
      <c r="O2" s="1">
        <v>44566</v>
      </c>
      <c r="P2" t="str">
        <f ca="1" t="shared" ref="P2:P14" si="0">IF(O2="","",IF(DATEDIF(O2,NOW(),"Y")&gt;0,DATEDIF(O2,NOW(),"Y")&amp;"年","")&amp;IF(DATEDIF(O2,NOW(),"YM")&gt;0,DATEDIF(O2,NOW(),"YM")&amp;"月","")&amp;DATEDIF(O2,NOW(),"MD")&amp;"天")</f>
        <v>4年2月26天</v>
      </c>
      <c r="Q2" s="1">
        <v>44631</v>
      </c>
      <c r="R2" t="str">
        <f ca="1" t="shared" ref="R2:R14" si="1">IF(Q2="","",IF(DATEDIF(Q2,NOW(),"Y")&gt;0,DATEDIF(Q2,NOW(),"Y")&amp;"年","")&amp;IF(DATEDIF(Q2,NOW(),"YM")&gt;0,DATEDIF(Q2,NOW(),"YM")&amp;"月","")&amp;DATEDIF(Q2,NOW(),"MD")&amp;"天")</f>
        <v>4年20天</v>
      </c>
      <c r="S2" t="s">
        <v>42</v>
      </c>
      <c r="T2">
        <v>16795</v>
      </c>
      <c r="U2">
        <v>600</v>
      </c>
      <c r="V2">
        <v>81580</v>
      </c>
      <c r="W2" t="s">
        <v>119</v>
      </c>
      <c r="X2">
        <v>0</v>
      </c>
      <c r="Y2">
        <v>0</v>
      </c>
      <c r="Z2">
        <v>5759.45</v>
      </c>
      <c r="AB2" t="s">
        <v>44</v>
      </c>
    </row>
    <row r="3" spans="1:28">
      <c r="A3" s="6" t="s">
        <v>120</v>
      </c>
      <c r="B3" s="6" t="s">
        <v>121</v>
      </c>
      <c r="C3" s="6" t="s">
        <v>122</v>
      </c>
      <c r="D3" t="s">
        <v>123</v>
      </c>
      <c r="F3" t="s">
        <v>33</v>
      </c>
      <c r="G3" t="s">
        <v>34</v>
      </c>
      <c r="H3" t="s">
        <v>116</v>
      </c>
      <c r="I3" t="s">
        <v>124</v>
      </c>
      <c r="J3" t="s">
        <v>37</v>
      </c>
      <c r="L3" t="s">
        <v>39</v>
      </c>
      <c r="M3" t="s">
        <v>118</v>
      </c>
      <c r="N3" t="s">
        <v>41</v>
      </c>
      <c r="O3" s="1">
        <v>44834</v>
      </c>
      <c r="P3" t="str">
        <f ca="1" t="shared" si="0"/>
        <v>3年6月1天</v>
      </c>
      <c r="Q3" s="1">
        <v>44884</v>
      </c>
      <c r="R3" t="str">
        <f ca="1" t="shared" si="1"/>
        <v>3年4月12天</v>
      </c>
      <c r="S3" t="s">
        <v>42</v>
      </c>
      <c r="V3">
        <v>3300</v>
      </c>
      <c r="W3" t="s">
        <v>125</v>
      </c>
      <c r="X3">
        <v>0</v>
      </c>
      <c r="Y3">
        <v>0</v>
      </c>
      <c r="Z3">
        <v>913.15</v>
      </c>
      <c r="AB3" t="s">
        <v>44</v>
      </c>
    </row>
    <row r="4" spans="1:28">
      <c r="A4" s="6" t="s">
        <v>126</v>
      </c>
      <c r="B4" s="6" t="s">
        <v>127</v>
      </c>
      <c r="C4" s="6" t="s">
        <v>128</v>
      </c>
      <c r="F4" t="s">
        <v>76</v>
      </c>
      <c r="G4" t="s">
        <v>34</v>
      </c>
      <c r="H4" t="s">
        <v>116</v>
      </c>
      <c r="I4" t="s">
        <v>129</v>
      </c>
      <c r="J4" t="s">
        <v>37</v>
      </c>
      <c r="L4" t="s">
        <v>39</v>
      </c>
      <c r="M4" t="s">
        <v>118</v>
      </c>
      <c r="N4" t="s">
        <v>130</v>
      </c>
      <c r="O4" s="1">
        <v>45443</v>
      </c>
      <c r="P4" t="str">
        <f ca="1" t="shared" si="0"/>
        <v>1年10月0天</v>
      </c>
      <c r="Q4" s="1">
        <v>45477</v>
      </c>
      <c r="R4" t="str">
        <f ca="1" t="shared" si="1"/>
        <v>1年8月27天</v>
      </c>
      <c r="S4" t="s">
        <v>42</v>
      </c>
      <c r="V4">
        <v>2520</v>
      </c>
      <c r="W4" t="s">
        <v>131</v>
      </c>
      <c r="X4">
        <v>0</v>
      </c>
      <c r="Y4">
        <v>0</v>
      </c>
      <c r="Z4">
        <v>9644.25</v>
      </c>
      <c r="AB4" t="s">
        <v>44</v>
      </c>
    </row>
    <row r="5" spans="1:28">
      <c r="A5" t="s">
        <v>132</v>
      </c>
      <c r="B5" t="s">
        <v>133</v>
      </c>
      <c r="C5" t="s">
        <v>134</v>
      </c>
      <c r="F5" t="s">
        <v>135</v>
      </c>
      <c r="G5" t="s">
        <v>49</v>
      </c>
      <c r="H5" t="s">
        <v>116</v>
      </c>
      <c r="J5" t="s">
        <v>37</v>
      </c>
      <c r="L5" t="s">
        <v>136</v>
      </c>
      <c r="M5" t="s">
        <v>137</v>
      </c>
      <c r="N5" t="s">
        <v>130</v>
      </c>
      <c r="O5" s="1">
        <v>45629</v>
      </c>
      <c r="P5" t="str">
        <f ca="1" t="shared" si="0"/>
        <v>1年3月28天</v>
      </c>
      <c r="Q5" s="1">
        <v>45653</v>
      </c>
      <c r="R5" t="str">
        <f ca="1" t="shared" si="1"/>
        <v>1年3月4天</v>
      </c>
      <c r="S5" t="s">
        <v>42</v>
      </c>
      <c r="T5">
        <v>10250</v>
      </c>
      <c r="U5">
        <v>2700</v>
      </c>
      <c r="V5">
        <v>17800</v>
      </c>
      <c r="W5" t="s">
        <v>138</v>
      </c>
      <c r="X5">
        <v>1</v>
      </c>
      <c r="Y5">
        <v>0</v>
      </c>
      <c r="Z5">
        <v>21554.59</v>
      </c>
      <c r="AA5">
        <v>186.96</v>
      </c>
      <c r="AB5" t="s">
        <v>44</v>
      </c>
    </row>
    <row r="6" spans="1:28">
      <c r="A6" s="6" t="s">
        <v>139</v>
      </c>
      <c r="B6" s="6" t="s">
        <v>140</v>
      </c>
      <c r="C6" s="6" t="s">
        <v>141</v>
      </c>
      <c r="F6" t="s">
        <v>76</v>
      </c>
      <c r="G6" t="s">
        <v>34</v>
      </c>
      <c r="H6" t="s">
        <v>116</v>
      </c>
      <c r="I6" t="s">
        <v>117</v>
      </c>
      <c r="J6" t="s">
        <v>37</v>
      </c>
      <c r="L6" t="s">
        <v>39</v>
      </c>
      <c r="M6" t="s">
        <v>142</v>
      </c>
      <c r="N6" t="s">
        <v>41</v>
      </c>
      <c r="O6" s="1">
        <v>45733</v>
      </c>
      <c r="P6" t="str">
        <f ca="1" t="shared" si="0"/>
        <v>1年14天</v>
      </c>
      <c r="Q6" s="1">
        <v>45762</v>
      </c>
      <c r="R6" t="str">
        <f ca="1" t="shared" si="1"/>
        <v>11月16天</v>
      </c>
      <c r="S6" t="s">
        <v>42</v>
      </c>
      <c r="V6">
        <v>5670</v>
      </c>
      <c r="W6" t="s">
        <v>143</v>
      </c>
      <c r="X6">
        <v>1</v>
      </c>
      <c r="Y6">
        <v>0</v>
      </c>
      <c r="Z6">
        <v>31734.08</v>
      </c>
      <c r="AA6">
        <v>2285.57</v>
      </c>
      <c r="AB6" t="s">
        <v>44</v>
      </c>
    </row>
    <row r="7" spans="1:28">
      <c r="A7" s="6" t="s">
        <v>144</v>
      </c>
      <c r="B7" s="6" t="s">
        <v>145</v>
      </c>
      <c r="C7" s="6" t="s">
        <v>146</v>
      </c>
      <c r="F7" t="s">
        <v>76</v>
      </c>
      <c r="G7" t="s">
        <v>34</v>
      </c>
      <c r="H7" t="s">
        <v>116</v>
      </c>
      <c r="I7" t="s">
        <v>117</v>
      </c>
      <c r="J7" t="s">
        <v>37</v>
      </c>
      <c r="L7" t="s">
        <v>39</v>
      </c>
      <c r="M7" t="s">
        <v>142</v>
      </c>
      <c r="N7" t="s">
        <v>41</v>
      </c>
      <c r="O7" s="1">
        <v>45742</v>
      </c>
      <c r="P7" t="str">
        <f ca="1" t="shared" si="0"/>
        <v>1年5天</v>
      </c>
      <c r="Q7" s="1">
        <v>45793</v>
      </c>
      <c r="R7" t="str">
        <f ca="1" t="shared" si="1"/>
        <v>10月15天</v>
      </c>
      <c r="S7" t="s">
        <v>42</v>
      </c>
      <c r="V7" s="3" t="s">
        <v>147</v>
      </c>
      <c r="W7" t="s">
        <v>148</v>
      </c>
      <c r="X7">
        <v>0</v>
      </c>
      <c r="Y7">
        <v>0</v>
      </c>
      <c r="Z7">
        <v>16293.84</v>
      </c>
      <c r="AA7">
        <v>1417.89</v>
      </c>
      <c r="AB7" t="s">
        <v>44</v>
      </c>
    </row>
    <row r="8" spans="1:28">
      <c r="A8" s="6" t="s">
        <v>149</v>
      </c>
      <c r="B8" s="6" t="s">
        <v>150</v>
      </c>
      <c r="C8" s="6" t="s">
        <v>151</v>
      </c>
      <c r="F8" t="s">
        <v>33</v>
      </c>
      <c r="G8" t="s">
        <v>34</v>
      </c>
      <c r="H8" t="s">
        <v>116</v>
      </c>
      <c r="I8" t="s">
        <v>117</v>
      </c>
      <c r="J8" t="s">
        <v>37</v>
      </c>
      <c r="K8" t="s">
        <v>38</v>
      </c>
      <c r="L8" t="s">
        <v>94</v>
      </c>
      <c r="M8" t="s">
        <v>142</v>
      </c>
      <c r="N8" t="s">
        <v>130</v>
      </c>
      <c r="O8" s="1">
        <v>45756</v>
      </c>
      <c r="P8" t="str">
        <f ca="1" t="shared" si="0"/>
        <v>11月22天</v>
      </c>
      <c r="Q8" s="1">
        <v>45789</v>
      </c>
      <c r="R8" t="str">
        <f ca="1" t="shared" si="1"/>
        <v>10月19天</v>
      </c>
      <c r="S8" t="s">
        <v>42</v>
      </c>
      <c r="V8">
        <v>900</v>
      </c>
      <c r="W8" t="s">
        <v>152</v>
      </c>
      <c r="X8">
        <v>2</v>
      </c>
      <c r="Y8">
        <v>0</v>
      </c>
      <c r="Z8">
        <v>21617.44</v>
      </c>
      <c r="AA8">
        <v>1602.14</v>
      </c>
      <c r="AB8" t="s">
        <v>44</v>
      </c>
    </row>
    <row r="9" spans="1:28">
      <c r="A9" t="s">
        <v>153</v>
      </c>
      <c r="B9" t="s">
        <v>154</v>
      </c>
      <c r="C9" t="s">
        <v>155</v>
      </c>
      <c r="F9" t="s">
        <v>76</v>
      </c>
      <c r="G9" t="s">
        <v>34</v>
      </c>
      <c r="H9" t="s">
        <v>116</v>
      </c>
      <c r="I9" t="s">
        <v>117</v>
      </c>
      <c r="J9" t="s">
        <v>37</v>
      </c>
      <c r="K9" t="s">
        <v>38</v>
      </c>
      <c r="L9" t="s">
        <v>94</v>
      </c>
      <c r="M9" t="s">
        <v>142</v>
      </c>
      <c r="N9" t="s">
        <v>130</v>
      </c>
      <c r="O9" s="1">
        <v>45756</v>
      </c>
      <c r="P9" t="str">
        <f ca="1" t="shared" si="0"/>
        <v>11月22天</v>
      </c>
      <c r="Q9" s="1">
        <v>45789</v>
      </c>
      <c r="R9" t="str">
        <f ca="1" t="shared" si="1"/>
        <v>10月19天</v>
      </c>
      <c r="S9" t="s">
        <v>71</v>
      </c>
      <c r="T9">
        <v>0</v>
      </c>
      <c r="U9">
        <v>0</v>
      </c>
      <c r="V9">
        <v>0</v>
      </c>
      <c r="W9" t="s">
        <v>156</v>
      </c>
      <c r="X9">
        <v>0</v>
      </c>
      <c r="Y9">
        <v>0</v>
      </c>
      <c r="Z9">
        <v>10310.12</v>
      </c>
      <c r="AA9">
        <v>1780.65</v>
      </c>
      <c r="AB9" t="s">
        <v>44</v>
      </c>
    </row>
    <row r="10" spans="1:28">
      <c r="A10" s="6" t="s">
        <v>157</v>
      </c>
      <c r="B10" s="6" t="s">
        <v>158</v>
      </c>
      <c r="C10" s="6" t="s">
        <v>159</v>
      </c>
      <c r="F10" t="s">
        <v>76</v>
      </c>
      <c r="G10" t="s">
        <v>34</v>
      </c>
      <c r="H10" t="s">
        <v>116</v>
      </c>
      <c r="I10" t="s">
        <v>160</v>
      </c>
      <c r="J10" t="s">
        <v>37</v>
      </c>
      <c r="L10" t="s">
        <v>94</v>
      </c>
      <c r="M10" t="s">
        <v>118</v>
      </c>
      <c r="N10" t="s">
        <v>41</v>
      </c>
      <c r="O10" s="1">
        <v>45867</v>
      </c>
      <c r="P10" t="str">
        <f ca="1" t="shared" si="0"/>
        <v>8月2天</v>
      </c>
      <c r="Q10" s="1">
        <v>45891</v>
      </c>
      <c r="R10" t="str">
        <f ca="1" t="shared" si="1"/>
        <v>7月9天</v>
      </c>
      <c r="S10" t="s">
        <v>42</v>
      </c>
      <c r="V10">
        <v>4470</v>
      </c>
      <c r="W10" t="s">
        <v>161</v>
      </c>
      <c r="X10">
        <v>0</v>
      </c>
      <c r="Y10">
        <v>0</v>
      </c>
      <c r="Z10">
        <v>25514.17</v>
      </c>
      <c r="AA10">
        <v>3883.96</v>
      </c>
      <c r="AB10" t="s">
        <v>44</v>
      </c>
    </row>
    <row r="11" spans="1:28">
      <c r="A11" t="s">
        <v>162</v>
      </c>
      <c r="B11" t="s">
        <v>163</v>
      </c>
      <c r="C11" t="s">
        <v>164</v>
      </c>
      <c r="F11" t="s">
        <v>33</v>
      </c>
      <c r="G11" t="s">
        <v>34</v>
      </c>
      <c r="H11" t="s">
        <v>116</v>
      </c>
      <c r="L11" t="s">
        <v>94</v>
      </c>
      <c r="M11" t="s">
        <v>142</v>
      </c>
      <c r="O11" s="1">
        <v>45890</v>
      </c>
      <c r="P11" t="str">
        <f ca="1" t="shared" si="0"/>
        <v>7月10天</v>
      </c>
      <c r="R11" t="str">
        <f ca="1" t="shared" si="1"/>
        <v/>
      </c>
      <c r="S11" t="s">
        <v>165</v>
      </c>
      <c r="Z11">
        <v>7694.07</v>
      </c>
      <c r="AB11" t="s">
        <v>96</v>
      </c>
    </row>
    <row r="12" spans="1:28">
      <c r="A12" t="s">
        <v>166</v>
      </c>
      <c r="B12" t="s">
        <v>167</v>
      </c>
      <c r="C12" t="s">
        <v>168</v>
      </c>
      <c r="F12" t="s">
        <v>33</v>
      </c>
      <c r="G12" t="s">
        <v>34</v>
      </c>
      <c r="H12" t="s">
        <v>116</v>
      </c>
      <c r="I12" t="s">
        <v>117</v>
      </c>
      <c r="J12" t="s">
        <v>37</v>
      </c>
      <c r="K12" t="s">
        <v>94</v>
      </c>
      <c r="L12" t="s">
        <v>94</v>
      </c>
      <c r="M12" t="s">
        <v>118</v>
      </c>
      <c r="N12" t="s">
        <v>41</v>
      </c>
      <c r="O12" s="1">
        <v>45972</v>
      </c>
      <c r="P12" t="str">
        <f ca="1" t="shared" si="0"/>
        <v>4月20天</v>
      </c>
      <c r="R12" t="str">
        <f ca="1" t="shared" si="1"/>
        <v/>
      </c>
      <c r="S12" t="s">
        <v>71</v>
      </c>
      <c r="T12">
        <v>0</v>
      </c>
      <c r="U12">
        <v>0</v>
      </c>
      <c r="V12">
        <v>0</v>
      </c>
      <c r="W12" t="s">
        <v>169</v>
      </c>
      <c r="X12">
        <v>0</v>
      </c>
      <c r="Y12">
        <v>2</v>
      </c>
      <c r="Z12">
        <v>7608.22</v>
      </c>
      <c r="AB12" t="s">
        <v>96</v>
      </c>
    </row>
    <row r="13" spans="1:28">
      <c r="A13" t="s">
        <v>170</v>
      </c>
      <c r="B13" t="s">
        <v>171</v>
      </c>
      <c r="C13" t="s">
        <v>172</v>
      </c>
      <c r="F13" t="s">
        <v>33</v>
      </c>
      <c r="G13" t="s">
        <v>34</v>
      </c>
      <c r="H13" t="s">
        <v>116</v>
      </c>
      <c r="I13" t="s">
        <v>117</v>
      </c>
      <c r="J13" t="s">
        <v>108</v>
      </c>
      <c r="L13" t="s">
        <v>39</v>
      </c>
      <c r="M13" t="s">
        <v>173</v>
      </c>
      <c r="N13" t="s">
        <v>174</v>
      </c>
      <c r="O13" s="1">
        <v>45995</v>
      </c>
      <c r="P13" t="str">
        <f ca="1">IF(O13="","",(YEAR(TODAY())-YEAR(O13))*12+MONTH(TODAY())-MONTH(O13)+IF(DAY(TODAY())&gt;=DAY(O13),0,1)&amp;"个月"&amp;IF(DAY(TODAY())&gt;=DAY(O13),MOD(DAY(TODAY())-DAY(O13),31),DAY(TODAY())+31-MONTH(DAY(O13)))&amp;"天")</f>
        <v>3个月27天</v>
      </c>
      <c r="R13" t="str">
        <f ca="1" t="shared" si="1"/>
        <v/>
      </c>
      <c r="S13" t="s">
        <v>111</v>
      </c>
      <c r="T13">
        <v>0</v>
      </c>
      <c r="U13">
        <v>0</v>
      </c>
      <c r="V13">
        <v>0</v>
      </c>
      <c r="W13" t="s">
        <v>175</v>
      </c>
      <c r="X13" t="s">
        <v>176</v>
      </c>
      <c r="Z13">
        <v>31333.52</v>
      </c>
      <c r="AB13" t="s">
        <v>96</v>
      </c>
    </row>
    <row r="14" spans="1:28">
      <c r="A14" t="s">
        <v>177</v>
      </c>
      <c r="B14" t="s">
        <v>178</v>
      </c>
      <c r="C14" t="s">
        <v>179</v>
      </c>
      <c r="F14" t="s">
        <v>33</v>
      </c>
      <c r="G14" t="s">
        <v>34</v>
      </c>
      <c r="H14" t="s">
        <v>116</v>
      </c>
      <c r="I14" t="s">
        <v>180</v>
      </c>
      <c r="J14" t="s">
        <v>37</v>
      </c>
      <c r="L14" t="s">
        <v>94</v>
      </c>
      <c r="M14" t="s">
        <v>118</v>
      </c>
      <c r="N14" t="s">
        <v>41</v>
      </c>
      <c r="O14" s="1">
        <v>46021</v>
      </c>
      <c r="P14" t="str">
        <f ca="1" t="shared" si="0"/>
        <v>3月1天</v>
      </c>
      <c r="R14" t="str">
        <f ca="1" t="shared" si="1"/>
        <v/>
      </c>
      <c r="S14" t="s">
        <v>165</v>
      </c>
      <c r="T14">
        <v>0</v>
      </c>
      <c r="U14">
        <v>0</v>
      </c>
      <c r="V14">
        <v>0</v>
      </c>
      <c r="W14" t="s">
        <v>181</v>
      </c>
      <c r="X14">
        <v>0</v>
      </c>
      <c r="Y14">
        <v>0</v>
      </c>
      <c r="Z14">
        <v>7906.08</v>
      </c>
      <c r="AB14"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
  <sheetViews>
    <sheetView workbookViewId="0">
      <selection activeCell="C4" sqref="A4:C4"/>
    </sheetView>
  </sheetViews>
  <sheetFormatPr defaultColWidth="9" defaultRowHeight="13.5" outlineLevelRow="6"/>
  <cols>
    <col min="1" max="1" width="14.3583333333333" customWidth="1"/>
    <col min="2" max="2" width="13.8083333333333" customWidth="1"/>
    <col min="3" max="3" width="20.7666666666667" customWidth="1"/>
    <col min="4" max="4" width="8.33333333333333" customWidth="1"/>
    <col min="10" max="10" width="23.775" customWidth="1"/>
    <col min="15" max="15" width="21.5" customWidth="1"/>
    <col min="22" max="22" width="23.7" customWidth="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182</v>
      </c>
      <c r="B2" t="s">
        <v>183</v>
      </c>
      <c r="C2" t="s">
        <v>184</v>
      </c>
      <c r="E2" t="s">
        <v>185</v>
      </c>
      <c r="F2" t="s">
        <v>33</v>
      </c>
      <c r="G2" t="s">
        <v>49</v>
      </c>
      <c r="H2" t="s">
        <v>186</v>
      </c>
      <c r="I2" t="s">
        <v>187</v>
      </c>
      <c r="J2" t="s">
        <v>37</v>
      </c>
      <c r="L2" t="s">
        <v>188</v>
      </c>
      <c r="M2" t="s">
        <v>189</v>
      </c>
      <c r="O2" s="1">
        <v>45706</v>
      </c>
      <c r="P2" t="str">
        <f ca="1" t="shared" ref="P2:P7" si="0">IF(O2="","",IF(DATEDIF(O2,NOW(),"Y")&gt;0,DATEDIF(O2,NOW(),"Y")&amp;"年","")&amp;IF(DATEDIF(O2,NOW(),"YM")&gt;0,DATEDIF(O2,NOW(),"YM")&amp;"月","")&amp;DATEDIF(O2,NOW(),"MD")&amp;"天")</f>
        <v>1年1月13天</v>
      </c>
      <c r="Q2" s="1">
        <v>45719</v>
      </c>
      <c r="R2" t="str">
        <f ca="1" t="shared" ref="R2:R7" si="1">IF(Q2="","",IF(DATEDIF(Q2,NOW(),"Y")&gt;0,DATEDIF(Q2,NOW(),"Y")&amp;"年","")&amp;IF(DATEDIF(Q2,NOW(),"YM")&gt;0,DATEDIF(Q2,NOW(),"YM")&amp;"月","")&amp;DATEDIF(Q2,NOW(),"MD")&amp;"天")</f>
        <v>1年28天</v>
      </c>
      <c r="S2" t="s">
        <v>42</v>
      </c>
      <c r="V2">
        <v>0</v>
      </c>
      <c r="W2" t="s">
        <v>190</v>
      </c>
      <c r="X2">
        <v>0</v>
      </c>
      <c r="Y2">
        <v>0</v>
      </c>
      <c r="Z2">
        <v>10066.05</v>
      </c>
      <c r="AA2">
        <v>5211.22</v>
      </c>
      <c r="AB2" t="s">
        <v>44</v>
      </c>
    </row>
    <row r="3" spans="1:28">
      <c r="A3" t="s">
        <v>191</v>
      </c>
      <c r="B3" t="s">
        <v>192</v>
      </c>
      <c r="C3" t="s">
        <v>193</v>
      </c>
      <c r="D3" t="s">
        <v>32</v>
      </c>
      <c r="F3" t="s">
        <v>33</v>
      </c>
      <c r="G3" t="s">
        <v>194</v>
      </c>
      <c r="H3" t="s">
        <v>186</v>
      </c>
      <c r="I3" t="s">
        <v>195</v>
      </c>
      <c r="J3" t="s">
        <v>108</v>
      </c>
      <c r="L3" t="s">
        <v>53</v>
      </c>
      <c r="M3" t="s">
        <v>196</v>
      </c>
      <c r="N3" t="s">
        <v>197</v>
      </c>
      <c r="O3" s="1">
        <v>45834</v>
      </c>
      <c r="P3" t="str">
        <f ca="1" t="shared" si="0"/>
        <v>9月5天</v>
      </c>
      <c r="R3" t="str">
        <f ca="1" t="shared" si="1"/>
        <v/>
      </c>
      <c r="S3" t="s">
        <v>42</v>
      </c>
      <c r="V3" t="s">
        <v>198</v>
      </c>
      <c r="W3" s="8" t="s">
        <v>199</v>
      </c>
      <c r="AB3" t="s">
        <v>96</v>
      </c>
    </row>
    <row r="4" spans="1:28">
      <c r="A4" s="6" t="s">
        <v>200</v>
      </c>
      <c r="B4" s="6" t="s">
        <v>201</v>
      </c>
      <c r="C4" s="6" t="s">
        <v>202</v>
      </c>
      <c r="F4" t="s">
        <v>135</v>
      </c>
      <c r="G4" t="s">
        <v>194</v>
      </c>
      <c r="H4" t="s">
        <v>186</v>
      </c>
      <c r="J4" t="s">
        <v>108</v>
      </c>
      <c r="K4" t="s">
        <v>203</v>
      </c>
      <c r="L4" t="s">
        <v>53</v>
      </c>
      <c r="M4" t="s">
        <v>204</v>
      </c>
      <c r="N4" t="s">
        <v>110</v>
      </c>
      <c r="O4" s="1">
        <v>45912</v>
      </c>
      <c r="P4" t="str">
        <f ca="1" t="shared" si="0"/>
        <v>6月19天</v>
      </c>
      <c r="R4" t="str">
        <f ca="1" t="shared" si="1"/>
        <v/>
      </c>
      <c r="S4" t="s">
        <v>42</v>
      </c>
      <c r="V4">
        <v>2700</v>
      </c>
      <c r="W4" s="8" t="s">
        <v>205</v>
      </c>
      <c r="Z4">
        <v>63633.01</v>
      </c>
      <c r="AB4" t="s">
        <v>96</v>
      </c>
    </row>
    <row r="5" spans="1:28">
      <c r="A5" t="s">
        <v>206</v>
      </c>
      <c r="B5" t="s">
        <v>207</v>
      </c>
      <c r="C5" t="s">
        <v>208</v>
      </c>
      <c r="D5" t="s">
        <v>32</v>
      </c>
      <c r="F5" t="s">
        <v>33</v>
      </c>
      <c r="G5" t="s">
        <v>194</v>
      </c>
      <c r="H5" t="s">
        <v>186</v>
      </c>
      <c r="I5" t="s">
        <v>209</v>
      </c>
      <c r="J5" t="s">
        <v>108</v>
      </c>
      <c r="K5" t="s">
        <v>210</v>
      </c>
      <c r="M5" t="s">
        <v>211</v>
      </c>
      <c r="N5" t="s">
        <v>212</v>
      </c>
      <c r="O5" s="1">
        <v>45940</v>
      </c>
      <c r="P5" t="str">
        <f ca="1" t="shared" si="0"/>
        <v>5月21天</v>
      </c>
      <c r="R5" t="str">
        <f ca="1" t="shared" si="1"/>
        <v/>
      </c>
      <c r="S5" t="s">
        <v>42</v>
      </c>
      <c r="T5">
        <v>15375</v>
      </c>
      <c r="U5">
        <v>17967</v>
      </c>
      <c r="V5">
        <v>33342</v>
      </c>
      <c r="W5" s="8" t="s">
        <v>213</v>
      </c>
      <c r="Z5">
        <v>46216.79</v>
      </c>
      <c r="AB5" t="s">
        <v>96</v>
      </c>
    </row>
    <row r="6" spans="1:28">
      <c r="A6" t="s">
        <v>214</v>
      </c>
      <c r="B6" t="s">
        <v>215</v>
      </c>
      <c r="C6" t="s">
        <v>216</v>
      </c>
      <c r="D6" t="s">
        <v>32</v>
      </c>
      <c r="F6" t="s">
        <v>33</v>
      </c>
      <c r="G6" t="s">
        <v>194</v>
      </c>
      <c r="H6" t="s">
        <v>186</v>
      </c>
      <c r="I6" t="s">
        <v>217</v>
      </c>
      <c r="J6" t="s">
        <v>108</v>
      </c>
      <c r="K6" t="s">
        <v>218</v>
      </c>
      <c r="L6" t="s">
        <v>218</v>
      </c>
      <c r="M6" t="s">
        <v>196</v>
      </c>
      <c r="N6" t="s">
        <v>212</v>
      </c>
      <c r="O6" s="1">
        <v>45957</v>
      </c>
      <c r="P6" t="str">
        <f ca="1" t="shared" si="0"/>
        <v>5月4天</v>
      </c>
      <c r="R6" t="str">
        <f ca="1" t="shared" si="1"/>
        <v/>
      </c>
      <c r="S6" t="s">
        <v>111</v>
      </c>
      <c r="V6" t="s">
        <v>219</v>
      </c>
      <c r="W6" s="8" t="s">
        <v>220</v>
      </c>
      <c r="AB6" t="s">
        <v>96</v>
      </c>
    </row>
    <row r="7" spans="1:28">
      <c r="A7" t="s">
        <v>221</v>
      </c>
      <c r="B7" t="s">
        <v>222</v>
      </c>
      <c r="C7" t="s">
        <v>223</v>
      </c>
      <c r="F7" t="s">
        <v>33</v>
      </c>
      <c r="G7" t="s">
        <v>194</v>
      </c>
      <c r="H7" t="s">
        <v>186</v>
      </c>
      <c r="I7" t="s">
        <v>217</v>
      </c>
      <c r="J7" t="s">
        <v>108</v>
      </c>
      <c r="K7" t="s">
        <v>210</v>
      </c>
      <c r="N7" t="s">
        <v>224</v>
      </c>
      <c r="O7" s="1">
        <v>46088</v>
      </c>
      <c r="P7" t="str">
        <f ca="1" t="shared" si="0"/>
        <v>24天</v>
      </c>
      <c r="R7" t="str">
        <f ca="1" t="shared" si="1"/>
        <v/>
      </c>
      <c r="S7" t="s">
        <v>111</v>
      </c>
      <c r="Z7" s="2">
        <v>24823</v>
      </c>
      <c r="AB7" t="s">
        <v>96</v>
      </c>
    </row>
  </sheetData>
  <sheetProtection formatCells="0" formatColumns="0" formatRows="0" insertRows="0" insertColumns="0" insertHyperlinks="0" deleteColumns="0" deleteRows="0" sort="0" autoFilter="0" pivotTables="0"/>
  <hyperlinks>
    <hyperlink ref="W4" r:id="rId1" display="https://zjksdyyyzbcg.etrading.cn/"/>
    <hyperlink ref="W3" r:id="rId2" display="https://qhdgzzc.etrading.cn/"/>
    <hyperlink ref="W5" r:id="rId3" display="https://cdswzq.etrading.cn/"/>
    <hyperlink ref="W6" r:id="rId4" display="https://shijiazhuangdt.etrading.cn/"/>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7"/>
  <sheetViews>
    <sheetView workbookViewId="0">
      <pane xSplit="4" ySplit="1" topLeftCell="W12" activePane="bottomRight" state="frozen"/>
      <selection/>
      <selection pane="topRight"/>
      <selection pane="bottomLeft"/>
      <selection pane="bottomRight" activeCell="E2" sqref="E2"/>
    </sheetView>
  </sheetViews>
  <sheetFormatPr defaultColWidth="9" defaultRowHeight="13.5"/>
  <cols>
    <col min="1" max="1" width="17.5" customWidth="1"/>
    <col min="11" max="11" width="15.75" customWidth="1"/>
    <col min="15" max="15" width="20.7666666666667" customWidth="1"/>
    <col min="17" max="17" width="29.4916666666667" customWidth="1"/>
  </cols>
  <sheetData>
    <row r="1" spans="1:29">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s="3" t="s">
        <v>28</v>
      </c>
      <c r="X1" t="s">
        <v>22</v>
      </c>
      <c r="Y1" t="s">
        <v>23</v>
      </c>
      <c r="Z1" t="s">
        <v>24</v>
      </c>
      <c r="AA1" t="s">
        <v>25</v>
      </c>
      <c r="AB1" t="s">
        <v>26</v>
      </c>
      <c r="AC1" t="s">
        <v>27</v>
      </c>
    </row>
    <row r="2" spans="1:29">
      <c r="A2" t="s">
        <v>225</v>
      </c>
      <c r="B2" t="s">
        <v>226</v>
      </c>
      <c r="C2" t="s">
        <v>227</v>
      </c>
      <c r="F2" t="s">
        <v>33</v>
      </c>
      <c r="G2" t="s">
        <v>49</v>
      </c>
      <c r="H2" t="s">
        <v>228</v>
      </c>
      <c r="I2" t="s">
        <v>229</v>
      </c>
      <c r="J2" t="s">
        <v>37</v>
      </c>
      <c r="L2" t="s">
        <v>188</v>
      </c>
      <c r="M2" t="s">
        <v>54</v>
      </c>
      <c r="N2" t="s">
        <v>55</v>
      </c>
      <c r="O2" s="1">
        <v>44040</v>
      </c>
      <c r="P2" t="str">
        <f ca="1" t="shared" ref="P2:P37" si="0">IF(O2="","",IF(DATEDIF(O2,NOW(),"Y")&gt;0,DATEDIF(O2,NOW(),"Y")&amp;"年","")&amp;IF(DATEDIF(O2,NOW(),"YM")&gt;0,DATEDIF(O2,NOW(),"YM")&amp;"月","")&amp;DATEDIF(O2,NOW(),"MD")&amp;"天")</f>
        <v>5年8月3天</v>
      </c>
      <c r="Q2" s="1">
        <v>44069</v>
      </c>
      <c r="R2" t="str">
        <f ca="1" t="shared" ref="R2:R37" si="1">IF(Q2="","",IF(DATEDIF(Q2,NOW(),"Y")&gt;0,DATEDIF(Q2,NOW(),"Y")&amp;"年","")&amp;IF(DATEDIF(Q2,NOW(),"YM")&gt;0,DATEDIF(Q2,NOW(),"YM")&amp;"月","")&amp;DATEDIF(Q2,NOW(),"MD")&amp;"天")</f>
        <v>5年7月5天</v>
      </c>
      <c r="S2" t="s">
        <v>42</v>
      </c>
      <c r="T2">
        <v>36715</v>
      </c>
      <c r="U2">
        <v>10800</v>
      </c>
      <c r="V2">
        <v>94754</v>
      </c>
      <c r="X2" t="s">
        <v>230</v>
      </c>
      <c r="Y2">
        <v>0</v>
      </c>
      <c r="Z2">
        <v>0</v>
      </c>
      <c r="AA2">
        <v>15380.57</v>
      </c>
      <c r="AC2" t="s">
        <v>96</v>
      </c>
    </row>
    <row r="3" spans="1:29">
      <c r="A3" t="s">
        <v>231</v>
      </c>
      <c r="B3" t="s">
        <v>232</v>
      </c>
      <c r="C3" t="s">
        <v>233</v>
      </c>
      <c r="F3" t="s">
        <v>33</v>
      </c>
      <c r="G3" t="s">
        <v>49</v>
      </c>
      <c r="H3" t="s">
        <v>228</v>
      </c>
      <c r="I3" t="s">
        <v>234</v>
      </c>
      <c r="J3" t="s">
        <v>52</v>
      </c>
      <c r="L3" t="s">
        <v>188</v>
      </c>
      <c r="M3" t="s">
        <v>54</v>
      </c>
      <c r="N3" t="s">
        <v>55</v>
      </c>
      <c r="O3" s="1">
        <v>44602</v>
      </c>
      <c r="P3" t="str">
        <f ca="1" t="shared" si="0"/>
        <v>4年1月21天</v>
      </c>
      <c r="Q3" s="1">
        <v>44603</v>
      </c>
      <c r="R3" t="str">
        <f ca="1" t="shared" si="1"/>
        <v>4年1月20天</v>
      </c>
      <c r="S3" t="s">
        <v>42</v>
      </c>
      <c r="T3">
        <v>5265</v>
      </c>
      <c r="U3">
        <v>0</v>
      </c>
      <c r="V3">
        <v>40360</v>
      </c>
      <c r="X3" t="s">
        <v>235</v>
      </c>
      <c r="Y3">
        <v>0</v>
      </c>
      <c r="Z3">
        <v>0</v>
      </c>
      <c r="AA3">
        <v>7718.27</v>
      </c>
      <c r="AC3" t="s">
        <v>96</v>
      </c>
    </row>
    <row r="4" spans="1:29">
      <c r="A4" t="s">
        <v>236</v>
      </c>
      <c r="B4" t="s">
        <v>237</v>
      </c>
      <c r="C4" t="s">
        <v>238</v>
      </c>
      <c r="F4" t="s">
        <v>33</v>
      </c>
      <c r="G4" t="s">
        <v>49</v>
      </c>
      <c r="H4" t="s">
        <v>228</v>
      </c>
      <c r="J4" t="s">
        <v>52</v>
      </c>
      <c r="L4" t="s">
        <v>188</v>
      </c>
      <c r="M4" t="s">
        <v>54</v>
      </c>
      <c r="N4" t="s">
        <v>55</v>
      </c>
      <c r="O4" s="1">
        <v>44631</v>
      </c>
      <c r="P4" t="str">
        <f ca="1" t="shared" si="0"/>
        <v>4年20天</v>
      </c>
      <c r="Q4" s="1">
        <v>44650</v>
      </c>
      <c r="R4" t="str">
        <f ca="1" t="shared" si="1"/>
        <v>4年1天</v>
      </c>
      <c r="S4" t="s">
        <v>42</v>
      </c>
      <c r="T4">
        <v>585</v>
      </c>
      <c r="U4">
        <v>2340</v>
      </c>
      <c r="V4">
        <v>15015</v>
      </c>
      <c r="X4" t="s">
        <v>239</v>
      </c>
      <c r="Y4">
        <v>0</v>
      </c>
      <c r="Z4">
        <v>0</v>
      </c>
      <c r="AA4">
        <v>6063.07</v>
      </c>
      <c r="AC4" t="s">
        <v>240</v>
      </c>
    </row>
    <row r="5" spans="1:29">
      <c r="A5" t="s">
        <v>241</v>
      </c>
      <c r="B5" t="s">
        <v>242</v>
      </c>
      <c r="C5" t="s">
        <v>243</v>
      </c>
      <c r="F5" t="s">
        <v>33</v>
      </c>
      <c r="G5" t="s">
        <v>49</v>
      </c>
      <c r="H5" t="s">
        <v>228</v>
      </c>
      <c r="I5" t="s">
        <v>244</v>
      </c>
      <c r="J5" t="s">
        <v>52</v>
      </c>
      <c r="K5" t="s">
        <v>53</v>
      </c>
      <c r="L5" t="s">
        <v>53</v>
      </c>
      <c r="M5" t="s">
        <v>54</v>
      </c>
      <c r="N5" t="s">
        <v>55</v>
      </c>
      <c r="O5" s="1">
        <v>44699</v>
      </c>
      <c r="P5" t="str">
        <f ca="1" t="shared" si="0"/>
        <v>3年10月13天</v>
      </c>
      <c r="Q5" s="1">
        <v>44708</v>
      </c>
      <c r="R5" t="str">
        <f ca="1" t="shared" si="1"/>
        <v>3年10月4天</v>
      </c>
      <c r="S5" t="s">
        <v>42</v>
      </c>
      <c r="T5">
        <v>19130</v>
      </c>
      <c r="U5">
        <v>8840</v>
      </c>
      <c r="V5">
        <v>47260</v>
      </c>
      <c r="X5" t="s">
        <v>245</v>
      </c>
      <c r="Y5">
        <v>0</v>
      </c>
      <c r="Z5">
        <v>0</v>
      </c>
      <c r="AA5">
        <v>6869.68</v>
      </c>
      <c r="AC5" t="s">
        <v>96</v>
      </c>
    </row>
    <row r="6" spans="1:29">
      <c r="A6" t="s">
        <v>246</v>
      </c>
      <c r="B6" t="s">
        <v>247</v>
      </c>
      <c r="C6" t="s">
        <v>248</v>
      </c>
      <c r="F6" t="s">
        <v>135</v>
      </c>
      <c r="G6" t="s">
        <v>49</v>
      </c>
      <c r="H6" t="s">
        <v>228</v>
      </c>
      <c r="I6" t="s">
        <v>249</v>
      </c>
      <c r="J6" t="s">
        <v>52</v>
      </c>
      <c r="L6" t="s">
        <v>188</v>
      </c>
      <c r="M6" t="s">
        <v>54</v>
      </c>
      <c r="N6" t="s">
        <v>55</v>
      </c>
      <c r="O6" s="1">
        <v>44790</v>
      </c>
      <c r="P6" t="str">
        <f ca="1" t="shared" si="0"/>
        <v>3年7月14天</v>
      </c>
      <c r="Q6" s="1">
        <v>44818</v>
      </c>
      <c r="R6" t="str">
        <f ca="1" t="shared" si="1"/>
        <v>3年6月17天</v>
      </c>
      <c r="S6" t="s">
        <v>42</v>
      </c>
      <c r="T6">
        <v>53720</v>
      </c>
      <c r="U6">
        <v>3200</v>
      </c>
      <c r="V6">
        <v>125715</v>
      </c>
      <c r="X6" t="s">
        <v>250</v>
      </c>
      <c r="Y6">
        <v>1</v>
      </c>
      <c r="Z6">
        <v>0</v>
      </c>
      <c r="AA6">
        <v>23792.88</v>
      </c>
      <c r="AC6" t="s">
        <v>96</v>
      </c>
    </row>
    <row r="7" spans="1:29">
      <c r="A7" t="s">
        <v>251</v>
      </c>
      <c r="B7" t="s">
        <v>252</v>
      </c>
      <c r="C7" t="s">
        <v>253</v>
      </c>
      <c r="F7" t="s">
        <v>33</v>
      </c>
      <c r="G7" t="s">
        <v>49</v>
      </c>
      <c r="H7" t="s">
        <v>228</v>
      </c>
      <c r="I7" t="s">
        <v>244</v>
      </c>
      <c r="J7" t="s">
        <v>52</v>
      </c>
      <c r="L7" t="s">
        <v>53</v>
      </c>
      <c r="M7" t="s">
        <v>54</v>
      </c>
      <c r="N7" t="s">
        <v>55</v>
      </c>
      <c r="O7" s="1">
        <v>44791</v>
      </c>
      <c r="P7" t="str">
        <f ca="1" t="shared" si="0"/>
        <v>3年7月13天</v>
      </c>
      <c r="Q7" s="1">
        <v>44818</v>
      </c>
      <c r="R7" t="str">
        <f ca="1" t="shared" si="1"/>
        <v>3年6月17天</v>
      </c>
      <c r="S7" t="s">
        <v>42</v>
      </c>
      <c r="T7">
        <v>20880</v>
      </c>
      <c r="U7">
        <v>9910</v>
      </c>
      <c r="V7">
        <v>206410</v>
      </c>
      <c r="X7" t="s">
        <v>254</v>
      </c>
      <c r="Y7">
        <v>1</v>
      </c>
      <c r="Z7">
        <v>0</v>
      </c>
      <c r="AA7">
        <v>7414.89</v>
      </c>
      <c r="AC7" t="s">
        <v>96</v>
      </c>
    </row>
    <row r="8" spans="1:29">
      <c r="A8" t="s">
        <v>255</v>
      </c>
      <c r="B8" t="s">
        <v>256</v>
      </c>
      <c r="C8" t="s">
        <v>257</v>
      </c>
      <c r="F8" t="s">
        <v>33</v>
      </c>
      <c r="G8" t="s">
        <v>49</v>
      </c>
      <c r="H8" t="s">
        <v>228</v>
      </c>
      <c r="I8" t="s">
        <v>249</v>
      </c>
      <c r="J8" t="s">
        <v>52</v>
      </c>
      <c r="L8" t="s">
        <v>188</v>
      </c>
      <c r="M8" t="s">
        <v>54</v>
      </c>
      <c r="N8" t="s">
        <v>55</v>
      </c>
      <c r="O8" s="1">
        <v>44803</v>
      </c>
      <c r="P8" t="str">
        <f ca="1" t="shared" si="0"/>
        <v>3年7月1天</v>
      </c>
      <c r="Q8" s="1">
        <v>44823</v>
      </c>
      <c r="R8" t="str">
        <f ca="1" t="shared" si="1"/>
        <v>3年6月12天</v>
      </c>
      <c r="S8" t="s">
        <v>42</v>
      </c>
      <c r="T8">
        <v>23355</v>
      </c>
      <c r="U8">
        <v>750</v>
      </c>
      <c r="V8">
        <v>105220</v>
      </c>
      <c r="X8" t="s">
        <v>258</v>
      </c>
      <c r="Y8">
        <v>0</v>
      </c>
      <c r="Z8">
        <v>0</v>
      </c>
      <c r="AA8">
        <v>1792.68</v>
      </c>
      <c r="AC8" t="s">
        <v>96</v>
      </c>
    </row>
    <row r="9" spans="1:29">
      <c r="A9" t="s">
        <v>259</v>
      </c>
      <c r="B9" t="s">
        <v>260</v>
      </c>
      <c r="C9" t="s">
        <v>261</v>
      </c>
      <c r="F9" t="s">
        <v>33</v>
      </c>
      <c r="G9" t="s">
        <v>49</v>
      </c>
      <c r="H9" t="s">
        <v>228</v>
      </c>
      <c r="I9" t="s">
        <v>249</v>
      </c>
      <c r="J9" t="s">
        <v>52</v>
      </c>
      <c r="L9" t="s">
        <v>53</v>
      </c>
      <c r="M9" t="s">
        <v>54</v>
      </c>
      <c r="N9" t="s">
        <v>55</v>
      </c>
      <c r="O9" s="1">
        <v>44896</v>
      </c>
      <c r="P9" t="str">
        <f ca="1" t="shared" si="0"/>
        <v>3年3月30天</v>
      </c>
      <c r="Q9" s="1">
        <v>44923</v>
      </c>
      <c r="R9" t="str">
        <f ca="1" t="shared" si="1"/>
        <v>3年3月3天</v>
      </c>
      <c r="S9" t="s">
        <v>42</v>
      </c>
      <c r="T9">
        <v>20975</v>
      </c>
      <c r="U9">
        <v>0</v>
      </c>
      <c r="V9">
        <v>29165</v>
      </c>
      <c r="X9" t="s">
        <v>262</v>
      </c>
      <c r="Y9">
        <v>0</v>
      </c>
      <c r="Z9">
        <v>0</v>
      </c>
      <c r="AA9">
        <v>456.36</v>
      </c>
      <c r="AC9" t="s">
        <v>96</v>
      </c>
    </row>
    <row r="10" spans="1:29">
      <c r="A10" t="s">
        <v>263</v>
      </c>
      <c r="B10" t="s">
        <v>264</v>
      </c>
      <c r="C10" t="s">
        <v>265</v>
      </c>
      <c r="F10" t="s">
        <v>33</v>
      </c>
      <c r="G10" t="s">
        <v>49</v>
      </c>
      <c r="H10" t="s">
        <v>228</v>
      </c>
      <c r="I10" t="s">
        <v>266</v>
      </c>
      <c r="J10" t="s">
        <v>52</v>
      </c>
      <c r="L10" t="s">
        <v>53</v>
      </c>
      <c r="M10" t="s">
        <v>54</v>
      </c>
      <c r="N10" t="s">
        <v>55</v>
      </c>
      <c r="O10" s="1">
        <v>44923</v>
      </c>
      <c r="P10" t="str">
        <f ca="1" t="shared" si="0"/>
        <v>3年3月3天</v>
      </c>
      <c r="Q10" s="1">
        <v>44967</v>
      </c>
      <c r="R10" t="str">
        <f ca="1" t="shared" si="1"/>
        <v>3年1月21天</v>
      </c>
      <c r="S10" t="s">
        <v>42</v>
      </c>
      <c r="T10">
        <v>2000</v>
      </c>
      <c r="U10">
        <v>0</v>
      </c>
      <c r="V10">
        <v>2300</v>
      </c>
      <c r="W10" s="8"/>
      <c r="X10" s="8" t="s">
        <v>267</v>
      </c>
      <c r="AA10">
        <v>2301.96</v>
      </c>
      <c r="AC10" t="s">
        <v>240</v>
      </c>
    </row>
    <row r="11" s="4" customFormat="1" spans="1:29">
      <c r="A11" s="4" t="s">
        <v>268</v>
      </c>
      <c r="B11" s="4" t="s">
        <v>269</v>
      </c>
      <c r="C11" s="4" t="s">
        <v>270</v>
      </c>
      <c r="E11" s="4" t="s">
        <v>32</v>
      </c>
      <c r="F11" s="4" t="s">
        <v>33</v>
      </c>
      <c r="G11" s="4" t="s">
        <v>49</v>
      </c>
      <c r="H11" s="4" t="s">
        <v>228</v>
      </c>
      <c r="I11" s="4" t="s">
        <v>271</v>
      </c>
      <c r="J11" s="4" t="s">
        <v>52</v>
      </c>
      <c r="L11" s="4" t="s">
        <v>188</v>
      </c>
      <c r="M11" s="4" t="s">
        <v>54</v>
      </c>
      <c r="N11" s="4" t="s">
        <v>55</v>
      </c>
      <c r="O11" s="5">
        <v>44955</v>
      </c>
      <c r="P11" s="4" t="str">
        <f ca="1" t="shared" si="0"/>
        <v>3年2月2天</v>
      </c>
      <c r="Q11" s="5">
        <v>44971</v>
      </c>
      <c r="R11" s="4" t="str">
        <f ca="1" t="shared" si="1"/>
        <v>3年1月17天</v>
      </c>
      <c r="S11" s="4" t="s">
        <v>42</v>
      </c>
      <c r="T11" s="4">
        <v>0</v>
      </c>
      <c r="U11" s="4">
        <v>0</v>
      </c>
      <c r="V11" s="11">
        <v>0</v>
      </c>
      <c r="W11" s="12" t="s">
        <v>272</v>
      </c>
      <c r="X11" s="4" t="s">
        <v>273</v>
      </c>
      <c r="Y11" s="4">
        <v>0</v>
      </c>
      <c r="Z11" s="4">
        <v>0</v>
      </c>
      <c r="AC11" s="4" t="s">
        <v>44</v>
      </c>
    </row>
    <row r="12" ht="40.5" spans="1:29">
      <c r="A12" s="6" t="s">
        <v>274</v>
      </c>
      <c r="B12" s="6" t="s">
        <v>275</v>
      </c>
      <c r="C12" s="6" t="s">
        <v>276</v>
      </c>
      <c r="E12" t="s">
        <v>32</v>
      </c>
      <c r="F12" t="s">
        <v>33</v>
      </c>
      <c r="G12" t="s">
        <v>49</v>
      </c>
      <c r="H12" t="s">
        <v>228</v>
      </c>
      <c r="I12" t="s">
        <v>277</v>
      </c>
      <c r="J12" t="s">
        <v>52</v>
      </c>
      <c r="L12" t="s">
        <v>188</v>
      </c>
      <c r="M12" t="s">
        <v>54</v>
      </c>
      <c r="N12" t="s">
        <v>55</v>
      </c>
      <c r="O12" s="1">
        <v>44991</v>
      </c>
      <c r="P12" t="str">
        <f ca="1" t="shared" si="0"/>
        <v>3年25天</v>
      </c>
      <c r="Q12" s="1">
        <v>45014</v>
      </c>
      <c r="R12" t="str">
        <f ca="1" t="shared" si="1"/>
        <v>3年2天</v>
      </c>
      <c r="S12" t="s">
        <v>42</v>
      </c>
      <c r="T12">
        <v>0</v>
      </c>
      <c r="U12">
        <v>0</v>
      </c>
      <c r="V12" s="3">
        <v>41473</v>
      </c>
      <c r="W12" s="13" t="s">
        <v>278</v>
      </c>
      <c r="X12" t="s">
        <v>279</v>
      </c>
      <c r="Y12">
        <v>1</v>
      </c>
      <c r="Z12">
        <v>0</v>
      </c>
      <c r="AC12" t="s">
        <v>44</v>
      </c>
    </row>
    <row r="13" spans="1:29">
      <c r="A13" t="s">
        <v>280</v>
      </c>
      <c r="B13" t="s">
        <v>281</v>
      </c>
      <c r="C13" t="s">
        <v>282</v>
      </c>
      <c r="F13" t="s">
        <v>33</v>
      </c>
      <c r="G13" t="s">
        <v>49</v>
      </c>
      <c r="H13" t="s">
        <v>228</v>
      </c>
      <c r="I13" t="s">
        <v>249</v>
      </c>
      <c r="J13" t="s">
        <v>52</v>
      </c>
      <c r="L13" t="s">
        <v>53</v>
      </c>
      <c r="M13" t="s">
        <v>54</v>
      </c>
      <c r="N13" t="s">
        <v>55</v>
      </c>
      <c r="O13" s="1">
        <v>45118</v>
      </c>
      <c r="P13" t="str">
        <f ca="1" t="shared" si="0"/>
        <v>2年8月20天</v>
      </c>
      <c r="Q13" s="1">
        <v>45135</v>
      </c>
      <c r="R13" t="str">
        <f ca="1" t="shared" si="1"/>
        <v>2年8月3天</v>
      </c>
      <c r="S13" t="s">
        <v>42</v>
      </c>
      <c r="T13">
        <v>0</v>
      </c>
      <c r="U13">
        <v>0</v>
      </c>
      <c r="V13">
        <v>21640</v>
      </c>
      <c r="X13" t="s">
        <v>283</v>
      </c>
      <c r="Y13">
        <v>0</v>
      </c>
      <c r="Z13">
        <v>0</v>
      </c>
      <c r="AC13" t="s">
        <v>96</v>
      </c>
    </row>
    <row r="14" spans="1:29">
      <c r="A14" t="s">
        <v>284</v>
      </c>
      <c r="B14" t="s">
        <v>285</v>
      </c>
      <c r="C14" t="s">
        <v>286</v>
      </c>
      <c r="E14" t="s">
        <v>32</v>
      </c>
      <c r="F14" t="s">
        <v>135</v>
      </c>
      <c r="G14" t="s">
        <v>49</v>
      </c>
      <c r="H14" t="s">
        <v>228</v>
      </c>
      <c r="I14" t="s">
        <v>287</v>
      </c>
      <c r="J14" t="s">
        <v>37</v>
      </c>
      <c r="L14" t="s">
        <v>188</v>
      </c>
      <c r="M14" t="s">
        <v>54</v>
      </c>
      <c r="N14" t="s">
        <v>41</v>
      </c>
      <c r="O14" s="1">
        <v>45224</v>
      </c>
      <c r="P14" t="str">
        <f ca="1" t="shared" si="0"/>
        <v>2年5月6天</v>
      </c>
      <c r="Q14" s="1">
        <v>45243</v>
      </c>
      <c r="R14" t="str">
        <f ca="1" t="shared" si="1"/>
        <v>2年4月18天</v>
      </c>
      <c r="S14" t="s">
        <v>42</v>
      </c>
      <c r="T14">
        <v>29000</v>
      </c>
      <c r="U14">
        <v>3600</v>
      </c>
      <c r="V14">
        <v>74900</v>
      </c>
      <c r="X14" t="s">
        <v>288</v>
      </c>
      <c r="Y14">
        <v>0</v>
      </c>
      <c r="Z14">
        <v>0</v>
      </c>
      <c r="AA14">
        <v>20958.71</v>
      </c>
      <c r="AC14" t="s">
        <v>96</v>
      </c>
    </row>
    <row r="15" spans="1:29">
      <c r="A15" t="s">
        <v>289</v>
      </c>
      <c r="B15" t="s">
        <v>290</v>
      </c>
      <c r="C15" t="s">
        <v>291</v>
      </c>
      <c r="F15" t="s">
        <v>33</v>
      </c>
      <c r="G15" t="s">
        <v>49</v>
      </c>
      <c r="H15" t="s">
        <v>228</v>
      </c>
      <c r="I15" t="s">
        <v>249</v>
      </c>
      <c r="J15" t="s">
        <v>52</v>
      </c>
      <c r="L15" t="s">
        <v>188</v>
      </c>
      <c r="M15" t="s">
        <v>54</v>
      </c>
      <c r="N15" t="s">
        <v>55</v>
      </c>
      <c r="O15" s="1">
        <v>45280</v>
      </c>
      <c r="P15" t="str">
        <f ca="1" t="shared" si="0"/>
        <v>2年3月11天</v>
      </c>
      <c r="Q15" s="1">
        <v>45296</v>
      </c>
      <c r="R15" t="str">
        <f ca="1" t="shared" si="1"/>
        <v>2年2月26天</v>
      </c>
      <c r="S15" t="s">
        <v>42</v>
      </c>
      <c r="T15">
        <v>5070</v>
      </c>
      <c r="U15">
        <v>0</v>
      </c>
      <c r="V15">
        <v>26715</v>
      </c>
      <c r="X15" t="s">
        <v>292</v>
      </c>
      <c r="Y15">
        <v>0</v>
      </c>
      <c r="Z15">
        <v>0</v>
      </c>
      <c r="AA15">
        <v>5758.41</v>
      </c>
      <c r="AC15" t="s">
        <v>96</v>
      </c>
    </row>
    <row r="16" spans="1:29">
      <c r="A16" t="s">
        <v>293</v>
      </c>
      <c r="B16" t="s">
        <v>294</v>
      </c>
      <c r="C16" t="s">
        <v>295</v>
      </c>
      <c r="F16" t="s">
        <v>33</v>
      </c>
      <c r="G16" t="s">
        <v>49</v>
      </c>
      <c r="H16" t="s">
        <v>228</v>
      </c>
      <c r="I16" t="s">
        <v>244</v>
      </c>
      <c r="J16" t="s">
        <v>52</v>
      </c>
      <c r="L16" t="s">
        <v>188</v>
      </c>
      <c r="M16" t="s">
        <v>54</v>
      </c>
      <c r="N16" t="s">
        <v>55</v>
      </c>
      <c r="O16" s="1">
        <v>45296</v>
      </c>
      <c r="P16" t="str">
        <f ca="1" t="shared" si="0"/>
        <v>2年2月26天</v>
      </c>
      <c r="Q16" s="1">
        <v>45317</v>
      </c>
      <c r="R16" t="str">
        <f ca="1" t="shared" si="1"/>
        <v>2年2月5天</v>
      </c>
      <c r="S16" t="s">
        <v>42</v>
      </c>
      <c r="T16">
        <v>54540</v>
      </c>
      <c r="U16">
        <v>0</v>
      </c>
      <c r="V16">
        <v>55905</v>
      </c>
      <c r="X16" t="s">
        <v>296</v>
      </c>
      <c r="Y16">
        <v>0</v>
      </c>
      <c r="Z16">
        <v>0</v>
      </c>
      <c r="AA16">
        <v>12175.64</v>
      </c>
      <c r="AC16" t="s">
        <v>96</v>
      </c>
    </row>
    <row r="17" spans="1:29">
      <c r="A17" t="s">
        <v>297</v>
      </c>
      <c r="B17" t="s">
        <v>298</v>
      </c>
      <c r="C17" t="s">
        <v>299</v>
      </c>
      <c r="F17" t="s">
        <v>33</v>
      </c>
      <c r="G17" t="s">
        <v>49</v>
      </c>
      <c r="H17" t="s">
        <v>228</v>
      </c>
      <c r="I17" t="s">
        <v>244</v>
      </c>
      <c r="J17" t="s">
        <v>52</v>
      </c>
      <c r="L17" t="s">
        <v>188</v>
      </c>
      <c r="M17" t="s">
        <v>300</v>
      </c>
      <c r="N17" t="s">
        <v>55</v>
      </c>
      <c r="O17" s="1">
        <v>45309</v>
      </c>
      <c r="P17" t="str">
        <f ca="1" t="shared" si="0"/>
        <v>2年2月13天</v>
      </c>
      <c r="Q17" s="1">
        <v>45324</v>
      </c>
      <c r="R17" t="str">
        <f ca="1" t="shared" si="1"/>
        <v>2年1月29天</v>
      </c>
      <c r="S17" t="s">
        <v>42</v>
      </c>
      <c r="T17">
        <v>23680</v>
      </c>
      <c r="U17">
        <v>0</v>
      </c>
      <c r="V17">
        <v>28320</v>
      </c>
      <c r="X17" t="s">
        <v>301</v>
      </c>
      <c r="Y17">
        <v>0</v>
      </c>
      <c r="Z17">
        <v>0</v>
      </c>
      <c r="AA17">
        <v>17358.12</v>
      </c>
      <c r="AC17" t="s">
        <v>88</v>
      </c>
    </row>
    <row r="18" spans="1:29">
      <c r="A18" s="6" t="s">
        <v>302</v>
      </c>
      <c r="B18" s="6" t="s">
        <v>303</v>
      </c>
      <c r="C18" s="6" t="s">
        <v>304</v>
      </c>
      <c r="F18" t="s">
        <v>33</v>
      </c>
      <c r="G18" t="s">
        <v>49</v>
      </c>
      <c r="H18" t="s">
        <v>228</v>
      </c>
      <c r="I18" t="s">
        <v>305</v>
      </c>
      <c r="J18" t="s">
        <v>52</v>
      </c>
      <c r="L18" t="s">
        <v>53</v>
      </c>
      <c r="M18" t="s">
        <v>54</v>
      </c>
      <c r="N18" t="s">
        <v>55</v>
      </c>
      <c r="O18" s="1">
        <v>45363</v>
      </c>
      <c r="P18" t="str">
        <f ca="1" t="shared" si="0"/>
        <v>2年19天</v>
      </c>
      <c r="Q18" s="1">
        <v>45391</v>
      </c>
      <c r="R18" t="str">
        <f ca="1" t="shared" si="1"/>
        <v>1年11月22天</v>
      </c>
      <c r="S18" t="s">
        <v>42</v>
      </c>
      <c r="T18">
        <v>0</v>
      </c>
      <c r="U18">
        <v>0</v>
      </c>
      <c r="V18">
        <v>0</v>
      </c>
      <c r="W18" s="14" t="s">
        <v>272</v>
      </c>
      <c r="X18" t="s">
        <v>306</v>
      </c>
      <c r="Y18">
        <v>0</v>
      </c>
      <c r="Z18">
        <v>0</v>
      </c>
      <c r="AA18">
        <v>20150.09</v>
      </c>
      <c r="AC18" t="s">
        <v>44</v>
      </c>
    </row>
    <row r="19" s="4" customFormat="1" ht="24" spans="1:29">
      <c r="A19" s="4" t="s">
        <v>307</v>
      </c>
      <c r="B19" s="4" t="s">
        <v>308</v>
      </c>
      <c r="C19" s="4" t="s">
        <v>309</v>
      </c>
      <c r="E19" s="4" t="s">
        <v>32</v>
      </c>
      <c r="F19" s="4" t="s">
        <v>33</v>
      </c>
      <c r="G19" s="4" t="s">
        <v>49</v>
      </c>
      <c r="H19" s="4" t="s">
        <v>228</v>
      </c>
      <c r="I19" s="4" t="s">
        <v>310</v>
      </c>
      <c r="J19" s="4" t="s">
        <v>37</v>
      </c>
      <c r="L19" s="4" t="s">
        <v>188</v>
      </c>
      <c r="M19" s="4" t="s">
        <v>311</v>
      </c>
      <c r="N19" s="4" t="s">
        <v>312</v>
      </c>
      <c r="O19" s="5">
        <v>45410</v>
      </c>
      <c r="P19" s="4" t="str">
        <f ca="1" t="shared" si="0"/>
        <v>1年11月3天</v>
      </c>
      <c r="Q19" s="5">
        <v>45462</v>
      </c>
      <c r="R19" s="4" t="str">
        <f ca="1" t="shared" si="1"/>
        <v>1年9月12天</v>
      </c>
      <c r="S19" s="4" t="s">
        <v>42</v>
      </c>
      <c r="T19" s="4">
        <v>0</v>
      </c>
      <c r="U19" s="4">
        <v>0</v>
      </c>
      <c r="V19" s="4">
        <v>2000</v>
      </c>
      <c r="W19" s="12" t="s">
        <v>313</v>
      </c>
      <c r="X19" s="4" t="s">
        <v>314</v>
      </c>
      <c r="Y19" s="4">
        <v>2</v>
      </c>
      <c r="Z19" s="4">
        <v>0</v>
      </c>
      <c r="AC19" s="4" t="s">
        <v>44</v>
      </c>
    </row>
    <row r="20" spans="1:29">
      <c r="A20" t="s">
        <v>315</v>
      </c>
      <c r="B20" t="s">
        <v>316</v>
      </c>
      <c r="C20" t="s">
        <v>317</v>
      </c>
      <c r="F20" t="s">
        <v>33</v>
      </c>
      <c r="G20" t="s">
        <v>49</v>
      </c>
      <c r="H20" t="s">
        <v>228</v>
      </c>
      <c r="I20" t="s">
        <v>229</v>
      </c>
      <c r="J20" t="s">
        <v>37</v>
      </c>
      <c r="L20" t="s">
        <v>188</v>
      </c>
      <c r="M20" t="s">
        <v>54</v>
      </c>
      <c r="N20" t="s">
        <v>312</v>
      </c>
      <c r="O20" s="1">
        <v>45433</v>
      </c>
      <c r="P20" t="str">
        <f ca="1" t="shared" si="0"/>
        <v>1年10月10天</v>
      </c>
      <c r="Q20" s="1">
        <v>45462</v>
      </c>
      <c r="R20" t="str">
        <f ca="1" t="shared" si="1"/>
        <v>1年9月12天</v>
      </c>
      <c r="S20" t="s">
        <v>42</v>
      </c>
      <c r="T20">
        <v>25935</v>
      </c>
      <c r="U20">
        <v>0</v>
      </c>
      <c r="V20">
        <v>48750</v>
      </c>
      <c r="X20" t="s">
        <v>318</v>
      </c>
      <c r="Y20">
        <v>0</v>
      </c>
      <c r="Z20">
        <v>0</v>
      </c>
      <c r="AA20">
        <v>13682.78</v>
      </c>
      <c r="AC20" t="s">
        <v>96</v>
      </c>
    </row>
    <row r="21" s="4" customFormat="1" spans="1:29">
      <c r="A21" s="4" t="s">
        <v>319</v>
      </c>
      <c r="B21" s="4" t="s">
        <v>320</v>
      </c>
      <c r="C21" s="4" t="s">
        <v>321</v>
      </c>
      <c r="F21" s="4" t="s">
        <v>135</v>
      </c>
      <c r="G21" s="4" t="s">
        <v>49</v>
      </c>
      <c r="H21" s="4" t="s">
        <v>228</v>
      </c>
      <c r="I21" s="4" t="s">
        <v>322</v>
      </c>
      <c r="J21" s="4" t="s">
        <v>52</v>
      </c>
      <c r="L21" s="4" t="s">
        <v>188</v>
      </c>
      <c r="M21" s="4" t="s">
        <v>311</v>
      </c>
      <c r="N21" s="4" t="s">
        <v>78</v>
      </c>
      <c r="O21" s="5">
        <v>45574</v>
      </c>
      <c r="P21" s="4" t="str">
        <f ca="1" t="shared" si="0"/>
        <v>1年5月22天</v>
      </c>
      <c r="Q21" s="5">
        <v>45590</v>
      </c>
      <c r="R21" s="4" t="str">
        <f ca="1" t="shared" si="1"/>
        <v>1年5月6天</v>
      </c>
      <c r="S21" s="4" t="s">
        <v>42</v>
      </c>
      <c r="T21" s="4">
        <v>0</v>
      </c>
      <c r="U21" s="4">
        <v>0</v>
      </c>
      <c r="V21" s="4">
        <v>0</v>
      </c>
      <c r="X21" s="4" t="s">
        <v>323</v>
      </c>
      <c r="Y21" s="4">
        <v>0</v>
      </c>
      <c r="Z21" s="4">
        <v>0</v>
      </c>
      <c r="AA21" s="4">
        <v>8754.71</v>
      </c>
      <c r="AC21" s="4" t="s">
        <v>44</v>
      </c>
    </row>
    <row r="22" spans="1:29">
      <c r="A22" t="s">
        <v>324</v>
      </c>
      <c r="B22" t="s">
        <v>325</v>
      </c>
      <c r="C22" t="s">
        <v>326</v>
      </c>
      <c r="F22" t="s">
        <v>33</v>
      </c>
      <c r="G22" t="s">
        <v>49</v>
      </c>
      <c r="H22" t="s">
        <v>228</v>
      </c>
      <c r="I22" t="s">
        <v>249</v>
      </c>
      <c r="J22" t="s">
        <v>37</v>
      </c>
      <c r="L22" t="s">
        <v>188</v>
      </c>
      <c r="M22" t="s">
        <v>300</v>
      </c>
      <c r="O22" s="1">
        <v>45575</v>
      </c>
      <c r="P22" t="str">
        <f ca="1" t="shared" si="0"/>
        <v>1年5月21天</v>
      </c>
      <c r="R22" t="str">
        <f ca="1" t="shared" si="1"/>
        <v/>
      </c>
      <c r="S22" t="s">
        <v>42</v>
      </c>
      <c r="T22">
        <v>0</v>
      </c>
      <c r="U22">
        <v>0</v>
      </c>
      <c r="V22">
        <v>0</v>
      </c>
      <c r="X22" t="s">
        <v>327</v>
      </c>
      <c r="Y22">
        <v>0</v>
      </c>
      <c r="Z22">
        <v>0</v>
      </c>
      <c r="AA22">
        <v>117.63</v>
      </c>
      <c r="AC22" t="s">
        <v>96</v>
      </c>
    </row>
    <row r="23" spans="1:29">
      <c r="A23" t="s">
        <v>328</v>
      </c>
      <c r="B23" t="s">
        <v>329</v>
      </c>
      <c r="C23" t="s">
        <v>330</v>
      </c>
      <c r="D23" t="s">
        <v>331</v>
      </c>
      <c r="E23" t="s">
        <v>32</v>
      </c>
      <c r="F23" t="s">
        <v>33</v>
      </c>
      <c r="G23" t="s">
        <v>49</v>
      </c>
      <c r="H23" t="s">
        <v>228</v>
      </c>
      <c r="I23" t="s">
        <v>244</v>
      </c>
      <c r="J23" t="s">
        <v>37</v>
      </c>
      <c r="L23" t="s">
        <v>188</v>
      </c>
      <c r="M23" t="s">
        <v>311</v>
      </c>
      <c r="O23" s="1">
        <v>45581</v>
      </c>
      <c r="P23" t="str">
        <f ca="1" t="shared" si="0"/>
        <v>1年5月15天</v>
      </c>
      <c r="Q23" s="1">
        <v>45590</v>
      </c>
      <c r="R23" t="str">
        <f ca="1" t="shared" si="1"/>
        <v>1年5月6天</v>
      </c>
      <c r="S23" t="s">
        <v>42</v>
      </c>
      <c r="T23">
        <v>0</v>
      </c>
      <c r="U23">
        <v>0</v>
      </c>
      <c r="V23">
        <v>0</v>
      </c>
      <c r="X23" t="s">
        <v>332</v>
      </c>
      <c r="Y23">
        <v>0</v>
      </c>
      <c r="Z23">
        <v>0</v>
      </c>
      <c r="AA23">
        <v>2431.05</v>
      </c>
      <c r="AC23" t="s">
        <v>44</v>
      </c>
    </row>
    <row r="24" ht="12" customHeight="1" spans="1:29">
      <c r="A24" t="s">
        <v>333</v>
      </c>
      <c r="B24" t="s">
        <v>334</v>
      </c>
      <c r="C24" t="s">
        <v>335</v>
      </c>
      <c r="F24" t="s">
        <v>33</v>
      </c>
      <c r="G24" t="s">
        <v>49</v>
      </c>
      <c r="H24" t="s">
        <v>228</v>
      </c>
      <c r="I24" t="s">
        <v>336</v>
      </c>
      <c r="J24" t="s">
        <v>37</v>
      </c>
      <c r="L24" t="s">
        <v>53</v>
      </c>
      <c r="M24" t="s">
        <v>300</v>
      </c>
      <c r="O24" s="1">
        <v>45593</v>
      </c>
      <c r="P24" t="str">
        <f ca="1" t="shared" si="0"/>
        <v>1年5月3天</v>
      </c>
      <c r="Q24" s="1">
        <v>45611</v>
      </c>
      <c r="R24" t="str">
        <f ca="1" t="shared" si="1"/>
        <v>1年4月16天</v>
      </c>
      <c r="S24" t="s">
        <v>71</v>
      </c>
      <c r="T24">
        <v>0</v>
      </c>
      <c r="U24">
        <v>0</v>
      </c>
      <c r="V24">
        <v>0</v>
      </c>
      <c r="X24" t="s">
        <v>337</v>
      </c>
      <c r="Y24">
        <v>0</v>
      </c>
      <c r="Z24">
        <v>0</v>
      </c>
      <c r="AA24">
        <v>174.69</v>
      </c>
      <c r="AC24" t="s">
        <v>44</v>
      </c>
    </row>
    <row r="25" s="4" customFormat="1" spans="1:29">
      <c r="A25" s="4" t="s">
        <v>338</v>
      </c>
      <c r="B25" s="4" t="s">
        <v>339</v>
      </c>
      <c r="C25" s="4" t="s">
        <v>340</v>
      </c>
      <c r="F25" s="4" t="s">
        <v>76</v>
      </c>
      <c r="G25" s="4" t="s">
        <v>49</v>
      </c>
      <c r="H25" s="4" t="s">
        <v>228</v>
      </c>
      <c r="I25" s="4" t="s">
        <v>341</v>
      </c>
      <c r="J25" s="4" t="s">
        <v>37</v>
      </c>
      <c r="K25" s="4" t="s">
        <v>53</v>
      </c>
      <c r="L25" s="4" t="s">
        <v>342</v>
      </c>
      <c r="M25" s="4" t="s">
        <v>300</v>
      </c>
      <c r="N25" s="4" t="s">
        <v>130</v>
      </c>
      <c r="O25" s="5">
        <v>45712</v>
      </c>
      <c r="P25" s="4" t="str">
        <f ca="1" t="shared" si="0"/>
        <v>1年1月7天</v>
      </c>
      <c r="R25" s="4" t="str">
        <f ca="1" t="shared" si="1"/>
        <v/>
      </c>
      <c r="S25" s="4" t="s">
        <v>42</v>
      </c>
      <c r="T25" s="4">
        <v>0</v>
      </c>
      <c r="U25" s="4">
        <v>0</v>
      </c>
      <c r="V25" s="4">
        <v>0</v>
      </c>
      <c r="X25" s="4" t="s">
        <v>343</v>
      </c>
      <c r="Y25" s="4">
        <v>27</v>
      </c>
      <c r="Z25" s="4">
        <v>1</v>
      </c>
      <c r="AC25" s="4" t="s">
        <v>96</v>
      </c>
    </row>
    <row r="26" spans="1:29">
      <c r="A26" t="s">
        <v>344</v>
      </c>
      <c r="C26" t="s">
        <v>345</v>
      </c>
      <c r="E26" t="s">
        <v>32</v>
      </c>
      <c r="F26" t="s">
        <v>33</v>
      </c>
      <c r="G26" t="s">
        <v>346</v>
      </c>
      <c r="H26" t="s">
        <v>228</v>
      </c>
      <c r="I26" t="s">
        <v>322</v>
      </c>
      <c r="J26" t="s">
        <v>108</v>
      </c>
      <c r="K26" t="s">
        <v>347</v>
      </c>
      <c r="L26" t="s">
        <v>53</v>
      </c>
      <c r="M26" t="s">
        <v>348</v>
      </c>
      <c r="N26" t="s">
        <v>349</v>
      </c>
      <c r="O26" s="1">
        <v>45754</v>
      </c>
      <c r="P26" t="str">
        <f ca="1" t="shared" si="0"/>
        <v>11月24天</v>
      </c>
      <c r="R26" t="str">
        <f ca="1" t="shared" si="1"/>
        <v/>
      </c>
      <c r="S26" t="s">
        <v>111</v>
      </c>
      <c r="T26">
        <v>0</v>
      </c>
      <c r="U26">
        <v>0</v>
      </c>
      <c r="V26">
        <v>0</v>
      </c>
      <c r="X26" t="s">
        <v>350</v>
      </c>
      <c r="Y26">
        <v>0</v>
      </c>
      <c r="Z26">
        <v>0</v>
      </c>
      <c r="AA26">
        <v>28521</v>
      </c>
      <c r="AC26" t="s">
        <v>96</v>
      </c>
    </row>
    <row r="27" s="4" customFormat="1" spans="1:29">
      <c r="A27" s="4" t="s">
        <v>351</v>
      </c>
      <c r="B27" s="4" t="s">
        <v>352</v>
      </c>
      <c r="C27" s="4" t="s">
        <v>353</v>
      </c>
      <c r="F27" s="4" t="s">
        <v>76</v>
      </c>
      <c r="G27" s="4" t="s">
        <v>49</v>
      </c>
      <c r="H27" s="4" t="s">
        <v>228</v>
      </c>
      <c r="I27" s="4" t="s">
        <v>341</v>
      </c>
      <c r="J27" s="4" t="s">
        <v>37</v>
      </c>
      <c r="K27" s="4" t="s">
        <v>53</v>
      </c>
      <c r="L27" s="4" t="s">
        <v>342</v>
      </c>
      <c r="M27" s="4" t="s">
        <v>300</v>
      </c>
      <c r="N27" s="4" t="s">
        <v>78</v>
      </c>
      <c r="O27" s="5">
        <v>45755</v>
      </c>
      <c r="P27" s="4" t="str">
        <f ca="1" t="shared" si="0"/>
        <v>11月23天</v>
      </c>
      <c r="R27" s="4" t="str">
        <f ca="1" t="shared" si="1"/>
        <v/>
      </c>
      <c r="S27" s="4" t="s">
        <v>71</v>
      </c>
      <c r="T27" s="4">
        <v>0</v>
      </c>
      <c r="U27" s="4">
        <v>0</v>
      </c>
      <c r="V27" s="4">
        <v>0</v>
      </c>
      <c r="W27" s="12" t="s">
        <v>272</v>
      </c>
      <c r="X27" s="15" t="s">
        <v>354</v>
      </c>
      <c r="AC27" s="4" t="s">
        <v>96</v>
      </c>
    </row>
    <row r="28" spans="1:29">
      <c r="A28" t="s">
        <v>355</v>
      </c>
      <c r="B28" t="s">
        <v>356</v>
      </c>
      <c r="C28" t="s">
        <v>357</v>
      </c>
      <c r="F28" t="s">
        <v>76</v>
      </c>
      <c r="G28" t="s">
        <v>49</v>
      </c>
      <c r="H28" t="s">
        <v>228</v>
      </c>
      <c r="I28" t="s">
        <v>249</v>
      </c>
      <c r="J28" t="s">
        <v>37</v>
      </c>
      <c r="L28" t="s">
        <v>53</v>
      </c>
      <c r="M28" t="s">
        <v>54</v>
      </c>
      <c r="N28" t="s">
        <v>358</v>
      </c>
      <c r="O28" s="1">
        <v>45812</v>
      </c>
      <c r="P28" t="str">
        <f ca="1" t="shared" si="0"/>
        <v>9月27天</v>
      </c>
      <c r="R28" t="str">
        <f ca="1" t="shared" si="1"/>
        <v/>
      </c>
      <c r="S28" t="s">
        <v>165</v>
      </c>
      <c r="T28">
        <v>0</v>
      </c>
      <c r="U28">
        <v>0</v>
      </c>
      <c r="V28">
        <v>0</v>
      </c>
      <c r="X28" t="s">
        <v>359</v>
      </c>
      <c r="Y28">
        <v>0</v>
      </c>
      <c r="Z28">
        <v>0</v>
      </c>
      <c r="AA28">
        <v>2774.44</v>
      </c>
      <c r="AC28" t="s">
        <v>96</v>
      </c>
    </row>
    <row r="29" spans="1:29">
      <c r="A29" t="s">
        <v>360</v>
      </c>
      <c r="B29" t="s">
        <v>361</v>
      </c>
      <c r="C29" t="s">
        <v>362</v>
      </c>
      <c r="D29" t="s">
        <v>363</v>
      </c>
      <c r="F29" t="s">
        <v>76</v>
      </c>
      <c r="G29" t="s">
        <v>49</v>
      </c>
      <c r="H29" t="s">
        <v>228</v>
      </c>
      <c r="I29" t="s">
        <v>249</v>
      </c>
      <c r="J29" t="s">
        <v>37</v>
      </c>
      <c r="L29" t="s">
        <v>53</v>
      </c>
      <c r="M29" t="s">
        <v>54</v>
      </c>
      <c r="N29" t="s">
        <v>358</v>
      </c>
      <c r="O29" s="1">
        <v>45812</v>
      </c>
      <c r="P29" t="str">
        <f ca="1" t="shared" si="0"/>
        <v>9月27天</v>
      </c>
      <c r="R29" t="str">
        <f ca="1" t="shared" si="1"/>
        <v/>
      </c>
      <c r="S29" t="s">
        <v>71</v>
      </c>
      <c r="T29">
        <v>10135</v>
      </c>
      <c r="U29">
        <v>0</v>
      </c>
      <c r="V29">
        <v>10135</v>
      </c>
      <c r="X29" t="s">
        <v>364</v>
      </c>
      <c r="Y29">
        <v>0</v>
      </c>
      <c r="Z29">
        <v>0</v>
      </c>
      <c r="AA29">
        <v>12057.37</v>
      </c>
      <c r="AC29" t="s">
        <v>88</v>
      </c>
    </row>
    <row r="30" spans="1:29">
      <c r="A30" t="s">
        <v>365</v>
      </c>
      <c r="B30" t="s">
        <v>366</v>
      </c>
      <c r="C30" t="s">
        <v>367</v>
      </c>
      <c r="F30" t="s">
        <v>76</v>
      </c>
      <c r="G30" t="s">
        <v>49</v>
      </c>
      <c r="H30" t="s">
        <v>228</v>
      </c>
      <c r="I30" t="s">
        <v>249</v>
      </c>
      <c r="J30" t="s">
        <v>37</v>
      </c>
      <c r="L30" t="s">
        <v>53</v>
      </c>
      <c r="M30" t="s">
        <v>54</v>
      </c>
      <c r="N30" t="s">
        <v>358</v>
      </c>
      <c r="O30" s="1">
        <v>45813</v>
      </c>
      <c r="P30" t="str">
        <f ca="1" t="shared" si="0"/>
        <v>9月26天</v>
      </c>
      <c r="R30" t="str">
        <f ca="1" t="shared" si="1"/>
        <v/>
      </c>
      <c r="S30" t="s">
        <v>42</v>
      </c>
      <c r="T30">
        <v>600</v>
      </c>
      <c r="U30">
        <v>0</v>
      </c>
      <c r="V30">
        <v>0</v>
      </c>
      <c r="X30" t="s">
        <v>368</v>
      </c>
      <c r="Y30">
        <v>0</v>
      </c>
      <c r="Z30">
        <v>0</v>
      </c>
      <c r="AA30">
        <v>10555.51</v>
      </c>
      <c r="AC30" t="s">
        <v>96</v>
      </c>
    </row>
    <row r="31" spans="1:29">
      <c r="A31" t="s">
        <v>369</v>
      </c>
      <c r="B31" t="s">
        <v>370</v>
      </c>
      <c r="C31" t="s">
        <v>371</v>
      </c>
      <c r="F31" t="s">
        <v>76</v>
      </c>
      <c r="G31" t="s">
        <v>49</v>
      </c>
      <c r="H31" t="s">
        <v>228</v>
      </c>
      <c r="I31" t="s">
        <v>249</v>
      </c>
      <c r="J31" t="s">
        <v>37</v>
      </c>
      <c r="L31" t="s">
        <v>53</v>
      </c>
      <c r="M31" t="s">
        <v>54</v>
      </c>
      <c r="N31" t="s">
        <v>358</v>
      </c>
      <c r="O31" s="1">
        <v>45818</v>
      </c>
      <c r="P31" t="str">
        <f ca="1" t="shared" si="0"/>
        <v>9月21天</v>
      </c>
      <c r="R31" t="str">
        <f ca="1" t="shared" si="1"/>
        <v/>
      </c>
      <c r="S31" t="s">
        <v>42</v>
      </c>
      <c r="T31">
        <v>600</v>
      </c>
      <c r="U31">
        <v>0</v>
      </c>
      <c r="V31">
        <v>0</v>
      </c>
      <c r="X31" t="s">
        <v>372</v>
      </c>
      <c r="Y31">
        <v>0</v>
      </c>
      <c r="Z31">
        <v>0</v>
      </c>
      <c r="AA31">
        <v>5480.45</v>
      </c>
      <c r="AC31" t="s">
        <v>96</v>
      </c>
    </row>
    <row r="32" spans="1:29">
      <c r="A32" t="s">
        <v>373</v>
      </c>
      <c r="B32" t="s">
        <v>374</v>
      </c>
      <c r="C32" t="s">
        <v>375</v>
      </c>
      <c r="F32" t="s">
        <v>76</v>
      </c>
      <c r="G32" t="s">
        <v>49</v>
      </c>
      <c r="H32" t="s">
        <v>228</v>
      </c>
      <c r="I32" t="s">
        <v>234</v>
      </c>
      <c r="J32" t="s">
        <v>37</v>
      </c>
      <c r="L32" t="s">
        <v>53</v>
      </c>
      <c r="M32" t="s">
        <v>311</v>
      </c>
      <c r="N32" t="s">
        <v>358</v>
      </c>
      <c r="O32" s="1">
        <v>45826</v>
      </c>
      <c r="P32" t="str">
        <f ca="1" t="shared" si="0"/>
        <v>9月13天</v>
      </c>
      <c r="R32" t="str">
        <f ca="1" t="shared" si="1"/>
        <v/>
      </c>
      <c r="S32" t="s">
        <v>71</v>
      </c>
      <c r="T32">
        <v>0</v>
      </c>
      <c r="U32">
        <v>0</v>
      </c>
      <c r="V32">
        <v>0</v>
      </c>
      <c r="X32" t="s">
        <v>376</v>
      </c>
      <c r="Y32">
        <v>0</v>
      </c>
      <c r="Z32">
        <v>0</v>
      </c>
      <c r="AA32">
        <v>5750.41</v>
      </c>
      <c r="AC32" t="s">
        <v>96</v>
      </c>
    </row>
    <row r="33" spans="1:29">
      <c r="A33" t="s">
        <v>377</v>
      </c>
      <c r="B33" s="6" t="s">
        <v>378</v>
      </c>
      <c r="C33" s="6" t="s">
        <v>379</v>
      </c>
      <c r="F33" t="s">
        <v>76</v>
      </c>
      <c r="G33" t="s">
        <v>49</v>
      </c>
      <c r="H33" t="s">
        <v>228</v>
      </c>
      <c r="I33" t="s">
        <v>380</v>
      </c>
      <c r="J33" t="s">
        <v>37</v>
      </c>
      <c r="L33" t="s">
        <v>53</v>
      </c>
      <c r="M33" t="s">
        <v>54</v>
      </c>
      <c r="N33" t="s">
        <v>358</v>
      </c>
      <c r="O33" s="1">
        <v>45827</v>
      </c>
      <c r="P33" t="str">
        <f ca="1" t="shared" si="0"/>
        <v>9月12天</v>
      </c>
      <c r="R33" t="str">
        <f ca="1" t="shared" si="1"/>
        <v/>
      </c>
      <c r="S33" t="s">
        <v>71</v>
      </c>
      <c r="T33">
        <v>0</v>
      </c>
      <c r="U33">
        <v>0</v>
      </c>
      <c r="V33" s="7">
        <v>1755</v>
      </c>
      <c r="X33" t="s">
        <v>381</v>
      </c>
      <c r="Y33">
        <v>0</v>
      </c>
      <c r="Z33">
        <v>0</v>
      </c>
      <c r="AA33">
        <v>7288.15</v>
      </c>
      <c r="AC33" t="s">
        <v>96</v>
      </c>
    </row>
    <row r="34" spans="1:29">
      <c r="A34" t="s">
        <v>382</v>
      </c>
      <c r="B34" t="s">
        <v>383</v>
      </c>
      <c r="C34" t="s">
        <v>384</v>
      </c>
      <c r="F34" t="s">
        <v>135</v>
      </c>
      <c r="G34" t="s">
        <v>49</v>
      </c>
      <c r="H34" t="s">
        <v>228</v>
      </c>
      <c r="I34" t="s">
        <v>244</v>
      </c>
      <c r="J34" t="s">
        <v>37</v>
      </c>
      <c r="L34" t="s">
        <v>53</v>
      </c>
      <c r="M34" t="s">
        <v>300</v>
      </c>
      <c r="N34" t="s">
        <v>358</v>
      </c>
      <c r="O34" s="1">
        <v>45832</v>
      </c>
      <c r="P34" t="str">
        <f ca="1" t="shared" si="0"/>
        <v>9月7天</v>
      </c>
      <c r="R34" t="str">
        <f ca="1" t="shared" si="1"/>
        <v/>
      </c>
      <c r="S34" t="s">
        <v>165</v>
      </c>
      <c r="T34">
        <v>0</v>
      </c>
      <c r="U34">
        <v>0</v>
      </c>
      <c r="V34">
        <v>0</v>
      </c>
      <c r="AC34" t="s">
        <v>96</v>
      </c>
    </row>
    <row r="35" spans="1:29">
      <c r="A35" t="s">
        <v>385</v>
      </c>
      <c r="B35" t="s">
        <v>386</v>
      </c>
      <c r="C35" t="s">
        <v>387</v>
      </c>
      <c r="E35" t="s">
        <v>32</v>
      </c>
      <c r="F35" t="s">
        <v>76</v>
      </c>
      <c r="G35" t="s">
        <v>49</v>
      </c>
      <c r="H35" t="s">
        <v>228</v>
      </c>
      <c r="I35" t="s">
        <v>305</v>
      </c>
      <c r="J35" t="s">
        <v>108</v>
      </c>
      <c r="K35" t="s">
        <v>53</v>
      </c>
      <c r="L35" t="s">
        <v>188</v>
      </c>
      <c r="M35" t="s">
        <v>54</v>
      </c>
      <c r="N35" t="s">
        <v>110</v>
      </c>
      <c r="O35" s="1">
        <v>45911</v>
      </c>
      <c r="P35" t="str">
        <f ca="1" t="shared" si="0"/>
        <v>6月20天</v>
      </c>
      <c r="Q35" s="1">
        <v>45954</v>
      </c>
      <c r="R35" t="str">
        <f ca="1" t="shared" si="1"/>
        <v>5月7天</v>
      </c>
      <c r="S35" t="s">
        <v>42</v>
      </c>
      <c r="T35">
        <v>0</v>
      </c>
      <c r="U35">
        <v>0</v>
      </c>
      <c r="V35">
        <v>0</v>
      </c>
      <c r="W35" s="8"/>
      <c r="X35" s="8" t="s">
        <v>388</v>
      </c>
      <c r="AA35">
        <v>51674.05</v>
      </c>
      <c r="AB35">
        <v>19630.47</v>
      </c>
      <c r="AC35" t="s">
        <v>103</v>
      </c>
    </row>
    <row r="36" spans="1:29">
      <c r="A36" s="3" t="s">
        <v>389</v>
      </c>
      <c r="B36" t="s">
        <v>390</v>
      </c>
      <c r="C36" t="s">
        <v>391</v>
      </c>
      <c r="D36" t="s">
        <v>391</v>
      </c>
      <c r="F36" t="s">
        <v>33</v>
      </c>
      <c r="G36" t="s">
        <v>49</v>
      </c>
      <c r="H36" t="s">
        <v>228</v>
      </c>
      <c r="I36" t="s">
        <v>392</v>
      </c>
      <c r="J36" t="s">
        <v>108</v>
      </c>
      <c r="L36" t="s">
        <v>393</v>
      </c>
      <c r="M36" t="s">
        <v>300</v>
      </c>
      <c r="N36" t="s">
        <v>394</v>
      </c>
      <c r="O36" s="1">
        <v>46009</v>
      </c>
      <c r="P36" t="str">
        <f ca="1" t="shared" si="0"/>
        <v>3月13天</v>
      </c>
      <c r="Q36" s="1">
        <v>46030</v>
      </c>
      <c r="R36" t="str">
        <f ca="1" t="shared" si="1"/>
        <v>2月23天</v>
      </c>
      <c r="S36" t="s">
        <v>42</v>
      </c>
      <c r="T36">
        <v>0</v>
      </c>
      <c r="U36">
        <v>0</v>
      </c>
      <c r="V36">
        <v>0</v>
      </c>
      <c r="AA36">
        <v>20343.54</v>
      </c>
      <c r="AB36">
        <v>7404.15</v>
      </c>
      <c r="AC36" t="s">
        <v>395</v>
      </c>
    </row>
    <row r="37" s="4" customFormat="1" spans="1:29">
      <c r="A37" s="4" t="s">
        <v>396</v>
      </c>
      <c r="C37" s="4" t="s">
        <v>397</v>
      </c>
      <c r="F37" s="4" t="s">
        <v>76</v>
      </c>
      <c r="H37" s="4" t="s">
        <v>228</v>
      </c>
      <c r="I37" s="4" t="s">
        <v>305</v>
      </c>
      <c r="J37" s="4" t="s">
        <v>108</v>
      </c>
      <c r="L37" s="4" t="s">
        <v>398</v>
      </c>
      <c r="M37" s="4" t="s">
        <v>54</v>
      </c>
      <c r="P37" s="4" t="str">
        <f ca="1" t="shared" si="0"/>
        <v/>
      </c>
      <c r="R37" s="4" t="str">
        <f ca="1" t="shared" si="1"/>
        <v/>
      </c>
      <c r="S37" s="4" t="s">
        <v>111</v>
      </c>
      <c r="AC37" s="4" t="s">
        <v>96</v>
      </c>
    </row>
  </sheetData>
  <sheetProtection formatCells="0" formatColumns="0" formatRows="0" insertRows="0" insertColumns="0" insertHyperlinks="0" deleteColumns="0" deleteRows="0" sort="0" autoFilter="0" pivotTables="0"/>
  <hyperlinks>
    <hyperlink ref="X10" r:id="rId1" display="https://xinyangweb.etrading.cn/"/>
    <hyperlink ref="X27" r:id="rId2" display="https://anyangnccq.etrading.cn/"/>
    <hyperlink ref="X35" r:id="rId3" display="https://jiaozuoygjy.etrading.cn/"/>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0"/>
  <sheetViews>
    <sheetView tabSelected="1" workbookViewId="0">
      <pane xSplit="3" ySplit="1" topLeftCell="D2" activePane="bottomRight" state="frozen"/>
      <selection/>
      <selection pane="topRight"/>
      <selection pane="bottomLeft"/>
      <selection pane="bottomRight" activeCell="A33" sqref="A33"/>
    </sheetView>
  </sheetViews>
  <sheetFormatPr defaultColWidth="9" defaultRowHeight="13.5"/>
  <cols>
    <col min="1" max="1" width="16.2083333333333" customWidth="1"/>
    <col min="3" max="3" width="17.45" customWidth="1"/>
    <col min="10" max="10" width="16.6666666666667" customWidth="1"/>
    <col min="15" max="15" width="21.5"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s="3" t="s">
        <v>28</v>
      </c>
    </row>
    <row r="2" spans="1:29">
      <c r="A2" t="s">
        <v>399</v>
      </c>
      <c r="B2" t="s">
        <v>400</v>
      </c>
      <c r="C2" t="s">
        <v>401</v>
      </c>
      <c r="F2" t="s">
        <v>33</v>
      </c>
      <c r="G2" t="s">
        <v>402</v>
      </c>
      <c r="H2" t="s">
        <v>403</v>
      </c>
      <c r="I2" t="s">
        <v>404</v>
      </c>
      <c r="J2" t="s">
        <v>37</v>
      </c>
      <c r="L2" t="s">
        <v>405</v>
      </c>
      <c r="M2" t="s">
        <v>406</v>
      </c>
      <c r="N2" t="s">
        <v>407</v>
      </c>
      <c r="O2" s="1">
        <v>43556</v>
      </c>
      <c r="P2" t="str">
        <f ca="1" t="shared" ref="P2:P40" si="0">IF(O2="","",IF(DATEDIF(O2,NOW(),"Y")&gt;0,DATEDIF(O2,NOW(),"Y")&amp;"年","")&amp;IF(DATEDIF(O2,NOW(),"YM")&gt;0,DATEDIF(O2,NOW(),"YM")&amp;"月","")&amp;DATEDIF(O2,NOW(),"MD")&amp;"天")</f>
        <v>6年11月30天</v>
      </c>
      <c r="Q2" s="1">
        <v>43575</v>
      </c>
      <c r="R2" t="str">
        <f ca="1" t="shared" ref="R2:R40" si="1">IF(Q2="","",IF(DATEDIF(Q2,NOW(),"Y")&gt;0,DATEDIF(Q2,NOW(),"Y")&amp;"年","")&amp;IF(DATEDIF(Q2,NOW(),"YM")&gt;0,DATEDIF(Q2,NOW(),"YM")&amp;"月","")&amp;DATEDIF(Q2,NOW(),"MD")&amp;"天")</f>
        <v>6年11月11天</v>
      </c>
      <c r="S2" t="s">
        <v>42</v>
      </c>
      <c r="T2">
        <v>450</v>
      </c>
      <c r="U2">
        <v>0</v>
      </c>
      <c r="V2">
        <v>66115</v>
      </c>
      <c r="W2" t="s">
        <v>408</v>
      </c>
      <c r="X2">
        <v>0</v>
      </c>
      <c r="Y2">
        <v>0</v>
      </c>
      <c r="Z2">
        <v>870.15</v>
      </c>
      <c r="AB2" t="s">
        <v>96</v>
      </c>
    </row>
    <row r="3" spans="1:29">
      <c r="A3" s="6" t="s">
        <v>409</v>
      </c>
      <c r="B3" s="6" t="s">
        <v>410</v>
      </c>
      <c r="C3" s="6" t="s">
        <v>411</v>
      </c>
      <c r="F3" t="s">
        <v>33</v>
      </c>
      <c r="G3" t="s">
        <v>402</v>
      </c>
      <c r="H3" t="s">
        <v>403</v>
      </c>
      <c r="I3" t="s">
        <v>412</v>
      </c>
      <c r="J3" t="s">
        <v>37</v>
      </c>
      <c r="L3" t="s">
        <v>405</v>
      </c>
      <c r="M3" t="s">
        <v>413</v>
      </c>
      <c r="N3" t="s">
        <v>407</v>
      </c>
      <c r="O3" s="1">
        <v>43891</v>
      </c>
      <c r="P3" t="str">
        <f ca="1" t="shared" si="0"/>
        <v>6年30天</v>
      </c>
      <c r="Q3" s="1">
        <v>43952</v>
      </c>
      <c r="R3" t="str">
        <f ca="1" t="shared" si="1"/>
        <v>5年10月30天</v>
      </c>
      <c r="S3" t="s">
        <v>71</v>
      </c>
      <c r="T3">
        <v>0</v>
      </c>
      <c r="U3">
        <v>0</v>
      </c>
      <c r="V3">
        <v>0</v>
      </c>
      <c r="W3" t="s">
        <v>414</v>
      </c>
      <c r="X3">
        <v>0</v>
      </c>
      <c r="Y3">
        <v>0</v>
      </c>
      <c r="AB3" t="s">
        <v>44</v>
      </c>
    </row>
    <row r="4" spans="1:29">
      <c r="A4" t="s">
        <v>415</v>
      </c>
      <c r="B4" t="s">
        <v>416</v>
      </c>
      <c r="C4" t="s">
        <v>417</v>
      </c>
      <c r="F4" t="s">
        <v>33</v>
      </c>
      <c r="G4" t="s">
        <v>402</v>
      </c>
      <c r="H4" t="s">
        <v>403</v>
      </c>
      <c r="I4" t="s">
        <v>404</v>
      </c>
      <c r="J4" t="s">
        <v>37</v>
      </c>
      <c r="L4" t="s">
        <v>405</v>
      </c>
      <c r="M4" t="s">
        <v>406</v>
      </c>
      <c r="N4" t="s">
        <v>407</v>
      </c>
      <c r="O4" s="1">
        <v>43952</v>
      </c>
      <c r="P4" t="str">
        <f ca="1" t="shared" si="0"/>
        <v>5年10月30天</v>
      </c>
      <c r="Q4" s="1">
        <v>44004</v>
      </c>
      <c r="R4" t="str">
        <f ca="1" t="shared" si="1"/>
        <v>5年9月9天</v>
      </c>
      <c r="S4" t="s">
        <v>71</v>
      </c>
      <c r="T4">
        <v>0</v>
      </c>
      <c r="U4">
        <v>0</v>
      </c>
      <c r="V4">
        <v>21940</v>
      </c>
      <c r="W4" t="s">
        <v>418</v>
      </c>
      <c r="X4">
        <v>0</v>
      </c>
      <c r="Y4">
        <v>0</v>
      </c>
      <c r="AB4" t="s">
        <v>96</v>
      </c>
    </row>
    <row r="5" spans="1:29">
      <c r="A5" t="s">
        <v>419</v>
      </c>
      <c r="B5" t="s">
        <v>420</v>
      </c>
      <c r="C5" t="s">
        <v>421</v>
      </c>
      <c r="F5" t="s">
        <v>33</v>
      </c>
      <c r="G5" t="s">
        <v>402</v>
      </c>
      <c r="H5" t="s">
        <v>403</v>
      </c>
      <c r="I5" t="s">
        <v>404</v>
      </c>
      <c r="J5" t="s">
        <v>37</v>
      </c>
      <c r="L5" t="s">
        <v>405</v>
      </c>
      <c r="M5" t="s">
        <v>406</v>
      </c>
      <c r="N5" t="s">
        <v>407</v>
      </c>
      <c r="O5" s="1">
        <v>44294</v>
      </c>
      <c r="P5" t="str">
        <f ca="1" t="shared" si="0"/>
        <v>4年11月23天</v>
      </c>
      <c r="Q5" s="1">
        <v>44317</v>
      </c>
      <c r="R5" t="str">
        <f ca="1" t="shared" si="1"/>
        <v>4年10月30天</v>
      </c>
      <c r="S5" t="s">
        <v>42</v>
      </c>
      <c r="T5">
        <v>17675</v>
      </c>
      <c r="U5">
        <v>6200</v>
      </c>
      <c r="V5">
        <v>217515</v>
      </c>
      <c r="W5" t="s">
        <v>422</v>
      </c>
      <c r="X5">
        <v>2</v>
      </c>
      <c r="Y5">
        <v>0</v>
      </c>
      <c r="Z5">
        <v>7701.85</v>
      </c>
      <c r="AB5" t="s">
        <v>96</v>
      </c>
    </row>
    <row r="6" spans="1:29">
      <c r="A6" t="s">
        <v>423</v>
      </c>
      <c r="B6" t="s">
        <v>424</v>
      </c>
      <c r="C6" t="s">
        <v>425</v>
      </c>
      <c r="E6" t="s">
        <v>426</v>
      </c>
      <c r="F6" t="s">
        <v>33</v>
      </c>
      <c r="G6" t="s">
        <v>402</v>
      </c>
      <c r="H6" t="s">
        <v>403</v>
      </c>
      <c r="J6" t="s">
        <v>37</v>
      </c>
      <c r="L6" t="s">
        <v>405</v>
      </c>
      <c r="M6" t="s">
        <v>406</v>
      </c>
      <c r="N6" t="s">
        <v>407</v>
      </c>
      <c r="O6" s="1">
        <v>44356</v>
      </c>
      <c r="P6" t="str">
        <f ca="1" t="shared" si="0"/>
        <v>4年9月22天</v>
      </c>
      <c r="Q6" s="1">
        <v>44393</v>
      </c>
      <c r="R6" t="str">
        <f ca="1" t="shared" si="1"/>
        <v>4年8月15天</v>
      </c>
      <c r="S6" t="s">
        <v>42</v>
      </c>
      <c r="T6">
        <v>1500</v>
      </c>
      <c r="U6">
        <v>0</v>
      </c>
      <c r="V6">
        <v>38990</v>
      </c>
      <c r="W6" t="s">
        <v>427</v>
      </c>
      <c r="X6">
        <v>0</v>
      </c>
      <c r="Y6">
        <v>0</v>
      </c>
      <c r="AB6" t="s">
        <v>96</v>
      </c>
    </row>
    <row r="7" spans="1:29">
      <c r="A7" t="s">
        <v>428</v>
      </c>
      <c r="B7" t="s">
        <v>429</v>
      </c>
      <c r="C7" t="s">
        <v>430</v>
      </c>
      <c r="F7" t="s">
        <v>33</v>
      </c>
      <c r="G7" t="s">
        <v>402</v>
      </c>
      <c r="H7" t="s">
        <v>403</v>
      </c>
      <c r="J7" t="s">
        <v>37</v>
      </c>
      <c r="L7" t="s">
        <v>405</v>
      </c>
      <c r="M7" t="s">
        <v>406</v>
      </c>
      <c r="N7" t="s">
        <v>407</v>
      </c>
      <c r="O7" s="1">
        <v>44363</v>
      </c>
      <c r="P7" t="str">
        <f ca="1" t="shared" si="0"/>
        <v>4年9月15天</v>
      </c>
      <c r="Q7" s="1">
        <v>44393</v>
      </c>
      <c r="R7" t="str">
        <f ca="1" t="shared" si="1"/>
        <v>4年8月15天</v>
      </c>
      <c r="S7" t="s">
        <v>42</v>
      </c>
      <c r="T7">
        <v>205485</v>
      </c>
      <c r="U7">
        <v>21865</v>
      </c>
      <c r="V7">
        <v>443270</v>
      </c>
      <c r="W7" t="s">
        <v>431</v>
      </c>
      <c r="X7">
        <v>4</v>
      </c>
      <c r="Y7">
        <v>0</v>
      </c>
      <c r="Z7">
        <v>40041.46</v>
      </c>
      <c r="AB7" t="s">
        <v>96</v>
      </c>
    </row>
    <row r="8" spans="1:29">
      <c r="A8" t="s">
        <v>432</v>
      </c>
      <c r="B8" t="s">
        <v>433</v>
      </c>
      <c r="C8" t="s">
        <v>434</v>
      </c>
      <c r="F8" t="s">
        <v>33</v>
      </c>
      <c r="G8" t="s">
        <v>402</v>
      </c>
      <c r="H8" t="s">
        <v>403</v>
      </c>
      <c r="I8" t="s">
        <v>435</v>
      </c>
      <c r="J8" t="s">
        <v>37</v>
      </c>
      <c r="L8" t="s">
        <v>405</v>
      </c>
      <c r="M8" t="s">
        <v>406</v>
      </c>
      <c r="N8" t="s">
        <v>407</v>
      </c>
      <c r="O8" s="1">
        <v>44409</v>
      </c>
      <c r="P8" t="str">
        <f ca="1" t="shared" si="0"/>
        <v>4年7月30天</v>
      </c>
      <c r="Q8" s="1">
        <v>44421</v>
      </c>
      <c r="R8" t="str">
        <f ca="1" t="shared" si="1"/>
        <v>4年7月18天</v>
      </c>
      <c r="S8" t="s">
        <v>71</v>
      </c>
      <c r="T8">
        <v>0</v>
      </c>
      <c r="U8">
        <v>0</v>
      </c>
      <c r="V8">
        <v>27950</v>
      </c>
      <c r="W8" t="s">
        <v>436</v>
      </c>
      <c r="X8">
        <v>0</v>
      </c>
      <c r="Y8">
        <v>0</v>
      </c>
      <c r="AB8" t="s">
        <v>96</v>
      </c>
    </row>
    <row r="9" spans="1:29">
      <c r="A9" t="s">
        <v>437</v>
      </c>
      <c r="B9" t="s">
        <v>438</v>
      </c>
      <c r="C9" t="s">
        <v>439</v>
      </c>
      <c r="D9" t="s">
        <v>32</v>
      </c>
      <c r="F9" t="s">
        <v>33</v>
      </c>
      <c r="G9" t="s">
        <v>402</v>
      </c>
      <c r="H9" t="s">
        <v>403</v>
      </c>
      <c r="I9" t="s">
        <v>440</v>
      </c>
      <c r="J9" t="s">
        <v>52</v>
      </c>
      <c r="L9" t="s">
        <v>405</v>
      </c>
      <c r="M9" t="s">
        <v>406</v>
      </c>
      <c r="N9" t="s">
        <v>407</v>
      </c>
      <c r="O9" s="1">
        <v>44539</v>
      </c>
      <c r="P9" t="str">
        <f ca="1" t="shared" si="0"/>
        <v>4年3月22天</v>
      </c>
      <c r="Q9" s="1">
        <v>44554</v>
      </c>
      <c r="R9" t="str">
        <f ca="1" t="shared" si="1"/>
        <v>4年3月7天</v>
      </c>
      <c r="S9" t="s">
        <v>42</v>
      </c>
      <c r="T9">
        <v>106980</v>
      </c>
      <c r="U9">
        <v>18400</v>
      </c>
      <c r="V9">
        <v>281650</v>
      </c>
      <c r="W9" t="s">
        <v>441</v>
      </c>
      <c r="Z9">
        <v>15874.72</v>
      </c>
      <c r="AB9" t="s">
        <v>96</v>
      </c>
    </row>
    <row r="10" s="4" customFormat="1" spans="1:29">
      <c r="A10" s="4" t="s">
        <v>442</v>
      </c>
      <c r="B10" s="4" t="s">
        <v>443</v>
      </c>
      <c r="C10" s="4" t="s">
        <v>444</v>
      </c>
      <c r="D10" s="4" t="s">
        <v>32</v>
      </c>
      <c r="F10" s="4" t="s">
        <v>33</v>
      </c>
      <c r="G10" s="4" t="s">
        <v>445</v>
      </c>
      <c r="H10" s="4" t="s">
        <v>403</v>
      </c>
      <c r="I10" s="4" t="s">
        <v>446</v>
      </c>
      <c r="J10" s="4" t="s">
        <v>52</v>
      </c>
      <c r="L10" s="4" t="s">
        <v>405</v>
      </c>
      <c r="M10" s="4" t="s">
        <v>447</v>
      </c>
      <c r="N10" s="4" t="s">
        <v>407</v>
      </c>
      <c r="O10" s="5">
        <v>44688</v>
      </c>
      <c r="P10" s="4" t="str">
        <f ca="1" t="shared" si="0"/>
        <v>3年10月24天</v>
      </c>
      <c r="Q10" s="5">
        <v>44724</v>
      </c>
      <c r="R10" s="4" t="str">
        <f ca="1" t="shared" si="1"/>
        <v>3年9月19天</v>
      </c>
      <c r="S10" s="4" t="s">
        <v>42</v>
      </c>
      <c r="T10" s="4">
        <v>0</v>
      </c>
      <c r="U10" s="4">
        <v>0</v>
      </c>
      <c r="V10" s="4">
        <v>0</v>
      </c>
      <c r="W10" s="4" t="s">
        <v>448</v>
      </c>
      <c r="X10" s="4">
        <v>11</v>
      </c>
      <c r="Y10" s="4">
        <v>0</v>
      </c>
      <c r="AB10" s="4" t="s">
        <v>44</v>
      </c>
    </row>
    <row r="11" s="4" customFormat="1" spans="1:29">
      <c r="A11" s="4" t="s">
        <v>449</v>
      </c>
      <c r="B11" s="4" t="s">
        <v>450</v>
      </c>
      <c r="C11" s="4" t="s">
        <v>451</v>
      </c>
      <c r="F11" s="4" t="s">
        <v>76</v>
      </c>
      <c r="G11" s="4" t="s">
        <v>445</v>
      </c>
      <c r="H11" s="4" t="s">
        <v>403</v>
      </c>
      <c r="I11" s="4" t="s">
        <v>435</v>
      </c>
      <c r="J11" s="4" t="s">
        <v>52</v>
      </c>
      <c r="L11" s="4" t="s">
        <v>405</v>
      </c>
      <c r="M11" s="4" t="s">
        <v>452</v>
      </c>
      <c r="N11" s="4" t="s">
        <v>407</v>
      </c>
      <c r="O11" s="5">
        <v>44690</v>
      </c>
      <c r="P11" s="4" t="str">
        <f ca="1" t="shared" si="0"/>
        <v>3年10月22天</v>
      </c>
      <c r="Q11" s="5">
        <v>44729</v>
      </c>
      <c r="R11" s="4" t="str">
        <f ca="1" t="shared" si="1"/>
        <v>3年9月14天</v>
      </c>
      <c r="S11" s="4" t="s">
        <v>71</v>
      </c>
      <c r="T11" s="4">
        <v>0</v>
      </c>
      <c r="U11" s="4">
        <v>0</v>
      </c>
      <c r="V11" s="4">
        <v>0</v>
      </c>
      <c r="AB11" s="4" t="s">
        <v>44</v>
      </c>
    </row>
    <row r="12" s="4" customFormat="1" spans="1:29">
      <c r="A12" s="4" t="s">
        <v>453</v>
      </c>
      <c r="B12" s="4" t="s">
        <v>454</v>
      </c>
      <c r="C12" s="4" t="s">
        <v>455</v>
      </c>
      <c r="F12" s="4" t="s">
        <v>76</v>
      </c>
      <c r="G12" s="4" t="s">
        <v>445</v>
      </c>
      <c r="H12" s="4" t="s">
        <v>403</v>
      </c>
      <c r="I12" s="4" t="s">
        <v>435</v>
      </c>
      <c r="J12" s="4" t="s">
        <v>52</v>
      </c>
      <c r="L12" s="4" t="s">
        <v>405</v>
      </c>
      <c r="M12" s="4" t="s">
        <v>452</v>
      </c>
      <c r="N12" s="4" t="s">
        <v>407</v>
      </c>
      <c r="O12" s="5">
        <v>44701</v>
      </c>
      <c r="P12" s="4" t="str">
        <f ca="1" t="shared" si="0"/>
        <v>3年10月11天</v>
      </c>
      <c r="Q12" s="5">
        <v>44729</v>
      </c>
      <c r="R12" s="4" t="str">
        <f ca="1" t="shared" si="1"/>
        <v>3年9月14天</v>
      </c>
      <c r="S12" s="4" t="s">
        <v>71</v>
      </c>
      <c r="T12" s="4">
        <v>0</v>
      </c>
      <c r="U12" s="4">
        <v>0</v>
      </c>
      <c r="V12" s="4">
        <v>0</v>
      </c>
      <c r="AB12" s="4" t="s">
        <v>44</v>
      </c>
    </row>
    <row r="13" s="4" customFormat="1" spans="1:29">
      <c r="A13" s="4" t="s">
        <v>456</v>
      </c>
      <c r="B13" s="4" t="s">
        <v>457</v>
      </c>
      <c r="C13" s="4" t="s">
        <v>458</v>
      </c>
      <c r="F13" s="4" t="s">
        <v>76</v>
      </c>
      <c r="G13" s="4" t="s">
        <v>445</v>
      </c>
      <c r="H13" s="4" t="s">
        <v>403</v>
      </c>
      <c r="I13" s="4" t="s">
        <v>435</v>
      </c>
      <c r="J13" s="4" t="s">
        <v>52</v>
      </c>
      <c r="L13" s="4" t="s">
        <v>405</v>
      </c>
      <c r="M13" s="4" t="s">
        <v>452</v>
      </c>
      <c r="N13" s="4" t="s">
        <v>407</v>
      </c>
      <c r="O13" s="5">
        <v>44701</v>
      </c>
      <c r="P13" s="4" t="str">
        <f ca="1" t="shared" si="0"/>
        <v>3年10月11天</v>
      </c>
      <c r="Q13" s="5">
        <v>44736</v>
      </c>
      <c r="R13" s="4" t="str">
        <f ca="1" t="shared" si="1"/>
        <v>3年9月7天</v>
      </c>
      <c r="S13" s="4" t="s">
        <v>71</v>
      </c>
      <c r="T13" s="4">
        <v>0</v>
      </c>
      <c r="U13" s="4">
        <v>0</v>
      </c>
      <c r="V13" s="4">
        <v>0</v>
      </c>
      <c r="AB13" s="4" t="s">
        <v>44</v>
      </c>
    </row>
    <row r="14" s="4" customFormat="1" spans="1:29">
      <c r="A14" s="4" t="s">
        <v>459</v>
      </c>
      <c r="B14" s="4" t="s">
        <v>460</v>
      </c>
      <c r="C14" s="4" t="s">
        <v>461</v>
      </c>
      <c r="F14" s="4" t="s">
        <v>76</v>
      </c>
      <c r="G14" s="4" t="s">
        <v>445</v>
      </c>
      <c r="H14" s="4" t="s">
        <v>403</v>
      </c>
      <c r="I14" s="4" t="s">
        <v>435</v>
      </c>
      <c r="J14" s="4" t="s">
        <v>52</v>
      </c>
      <c r="L14" s="4" t="s">
        <v>405</v>
      </c>
      <c r="M14" s="4" t="s">
        <v>452</v>
      </c>
      <c r="N14" s="4" t="s">
        <v>407</v>
      </c>
      <c r="O14" s="5">
        <v>44719</v>
      </c>
      <c r="P14" s="4" t="str">
        <f ca="1" t="shared" si="0"/>
        <v>3年9月24天</v>
      </c>
      <c r="Q14" s="5">
        <v>44736</v>
      </c>
      <c r="R14" s="4" t="str">
        <f ca="1" t="shared" si="1"/>
        <v>3年9月7天</v>
      </c>
      <c r="S14" s="4" t="s">
        <v>71</v>
      </c>
      <c r="T14" s="4">
        <v>0</v>
      </c>
      <c r="U14" s="4">
        <v>0</v>
      </c>
      <c r="V14" s="4">
        <v>0</v>
      </c>
      <c r="AB14" s="4" t="s">
        <v>44</v>
      </c>
    </row>
    <row r="15" s="4" customFormat="1" spans="1:29">
      <c r="A15" s="4" t="s">
        <v>459</v>
      </c>
      <c r="B15" s="4" t="s">
        <v>462</v>
      </c>
      <c r="C15" s="4" t="s">
        <v>463</v>
      </c>
      <c r="F15" s="4" t="s">
        <v>76</v>
      </c>
      <c r="G15" s="4" t="s">
        <v>445</v>
      </c>
      <c r="H15" s="4" t="s">
        <v>403</v>
      </c>
      <c r="I15" s="4" t="s">
        <v>435</v>
      </c>
      <c r="J15" s="4" t="s">
        <v>52</v>
      </c>
      <c r="L15" s="4" t="s">
        <v>405</v>
      </c>
      <c r="M15" s="4" t="s">
        <v>452</v>
      </c>
      <c r="N15" s="4" t="s">
        <v>407</v>
      </c>
      <c r="O15" s="5">
        <v>44736</v>
      </c>
      <c r="P15" s="4" t="str">
        <f ca="1" t="shared" si="0"/>
        <v>3年9月7天</v>
      </c>
      <c r="Q15" s="5">
        <v>44750</v>
      </c>
      <c r="R15" s="4" t="str">
        <f ca="1" t="shared" si="1"/>
        <v>3年8月23天</v>
      </c>
      <c r="S15" s="4" t="s">
        <v>71</v>
      </c>
      <c r="T15" s="4">
        <v>0</v>
      </c>
      <c r="U15" s="4">
        <v>0</v>
      </c>
      <c r="V15" s="4">
        <v>0</v>
      </c>
      <c r="W15" s="4" t="s">
        <v>464</v>
      </c>
      <c r="X15" s="4">
        <v>0</v>
      </c>
      <c r="Y15" s="4">
        <v>0</v>
      </c>
      <c r="AB15" s="4" t="s">
        <v>44</v>
      </c>
    </row>
    <row r="16" s="4" customFormat="1" spans="1:29">
      <c r="A16" s="4" t="s">
        <v>465</v>
      </c>
      <c r="B16" s="4" t="s">
        <v>466</v>
      </c>
      <c r="C16" s="4" t="s">
        <v>467</v>
      </c>
      <c r="F16" s="4" t="s">
        <v>76</v>
      </c>
      <c r="G16" s="4" t="s">
        <v>445</v>
      </c>
      <c r="H16" s="4" t="s">
        <v>403</v>
      </c>
      <c r="I16" s="4" t="s">
        <v>435</v>
      </c>
      <c r="J16" s="4" t="s">
        <v>52</v>
      </c>
      <c r="L16" s="4" t="s">
        <v>405</v>
      </c>
      <c r="M16" s="4" t="s">
        <v>452</v>
      </c>
      <c r="N16" s="4" t="s">
        <v>407</v>
      </c>
      <c r="O16" s="5">
        <v>44741</v>
      </c>
      <c r="P16" s="4" t="str">
        <f ca="1" t="shared" si="0"/>
        <v>3年9月2天</v>
      </c>
      <c r="Q16" s="5">
        <v>44762</v>
      </c>
      <c r="R16" s="4" t="str">
        <f ca="1" t="shared" si="1"/>
        <v>3年8月11天</v>
      </c>
      <c r="S16" s="4" t="s">
        <v>71</v>
      </c>
      <c r="T16" s="4">
        <v>0</v>
      </c>
      <c r="U16" s="4">
        <v>0</v>
      </c>
      <c r="V16" s="4">
        <v>0</v>
      </c>
      <c r="AB16" s="4" t="s">
        <v>44</v>
      </c>
    </row>
    <row r="17" s="4" customFormat="1" spans="1:29">
      <c r="A17" s="4" t="s">
        <v>468</v>
      </c>
      <c r="B17" s="4" t="s">
        <v>469</v>
      </c>
      <c r="C17" s="4" t="s">
        <v>470</v>
      </c>
      <c r="F17" s="4" t="s">
        <v>76</v>
      </c>
      <c r="G17" s="4" t="s">
        <v>445</v>
      </c>
      <c r="H17" s="4" t="s">
        <v>403</v>
      </c>
      <c r="I17" s="4" t="s">
        <v>435</v>
      </c>
      <c r="J17" s="4" t="s">
        <v>52</v>
      </c>
      <c r="L17" s="4" t="s">
        <v>405</v>
      </c>
      <c r="M17" s="4" t="s">
        <v>452</v>
      </c>
      <c r="N17" s="4" t="s">
        <v>407</v>
      </c>
      <c r="O17" s="5">
        <v>44741</v>
      </c>
      <c r="P17" s="4" t="str">
        <f ca="1" t="shared" si="0"/>
        <v>3年9月2天</v>
      </c>
      <c r="Q17" s="5">
        <v>44791</v>
      </c>
      <c r="R17" s="4" t="str">
        <f ca="1" t="shared" si="1"/>
        <v>3年7月13天</v>
      </c>
      <c r="S17" s="4" t="s">
        <v>71</v>
      </c>
      <c r="T17" s="4">
        <v>0</v>
      </c>
      <c r="U17" s="4">
        <v>0</v>
      </c>
      <c r="V17" s="4">
        <v>0</v>
      </c>
      <c r="AB17" s="4" t="s">
        <v>44</v>
      </c>
    </row>
    <row r="18" spans="1:29">
      <c r="A18" t="s">
        <v>471</v>
      </c>
      <c r="B18" t="s">
        <v>472</v>
      </c>
      <c r="C18" t="s">
        <v>473</v>
      </c>
      <c r="D18" t="s">
        <v>32</v>
      </c>
      <c r="F18" t="s">
        <v>135</v>
      </c>
      <c r="G18" t="s">
        <v>402</v>
      </c>
      <c r="H18" t="s">
        <v>403</v>
      </c>
      <c r="I18" t="s">
        <v>474</v>
      </c>
      <c r="J18" t="s">
        <v>37</v>
      </c>
      <c r="L18" t="s">
        <v>405</v>
      </c>
      <c r="M18" t="s">
        <v>406</v>
      </c>
      <c r="N18" t="s">
        <v>407</v>
      </c>
      <c r="O18" s="1">
        <v>44757</v>
      </c>
      <c r="P18" t="str">
        <f ca="1" t="shared" si="0"/>
        <v>3年8月16天</v>
      </c>
      <c r="Q18" s="1">
        <v>44800</v>
      </c>
      <c r="R18" t="str">
        <f ca="1" t="shared" si="1"/>
        <v>3年7月4天</v>
      </c>
      <c r="S18" t="s">
        <v>42</v>
      </c>
      <c r="T18">
        <v>59720</v>
      </c>
      <c r="U18">
        <v>21310</v>
      </c>
      <c r="V18">
        <v>110270</v>
      </c>
      <c r="W18" t="s">
        <v>475</v>
      </c>
      <c r="Z18">
        <v>16264.21</v>
      </c>
      <c r="AB18" t="s">
        <v>96</v>
      </c>
    </row>
    <row r="19" spans="1:29">
      <c r="A19" t="s">
        <v>382</v>
      </c>
      <c r="B19" t="s">
        <v>476</v>
      </c>
      <c r="C19" t="s">
        <v>477</v>
      </c>
      <c r="F19" t="s">
        <v>135</v>
      </c>
      <c r="G19" t="s">
        <v>445</v>
      </c>
      <c r="H19" t="s">
        <v>403</v>
      </c>
      <c r="I19" t="s">
        <v>478</v>
      </c>
      <c r="J19" t="s">
        <v>37</v>
      </c>
      <c r="L19" t="s">
        <v>405</v>
      </c>
      <c r="M19" t="s">
        <v>447</v>
      </c>
      <c r="N19" t="s">
        <v>407</v>
      </c>
      <c r="O19" s="1">
        <v>44860</v>
      </c>
      <c r="P19" t="str">
        <f ca="1" t="shared" si="0"/>
        <v>3年5月5天</v>
      </c>
      <c r="Q19" s="1">
        <v>44909</v>
      </c>
      <c r="R19" t="str">
        <f ca="1" t="shared" si="1"/>
        <v>3年3月17天</v>
      </c>
      <c r="S19" t="s">
        <v>71</v>
      </c>
      <c r="T19">
        <v>0</v>
      </c>
      <c r="U19">
        <v>0</v>
      </c>
      <c r="V19">
        <v>0</v>
      </c>
      <c r="W19" t="s">
        <v>479</v>
      </c>
      <c r="X19">
        <v>0</v>
      </c>
      <c r="Y19">
        <v>0</v>
      </c>
      <c r="AB19" t="s">
        <v>44</v>
      </c>
    </row>
    <row r="20" spans="1:29">
      <c r="A20" t="s">
        <v>480</v>
      </c>
      <c r="B20" t="s">
        <v>481</v>
      </c>
      <c r="C20" t="s">
        <v>482</v>
      </c>
      <c r="F20" t="s">
        <v>33</v>
      </c>
      <c r="G20" t="s">
        <v>402</v>
      </c>
      <c r="H20" t="s">
        <v>403</v>
      </c>
      <c r="I20" t="s">
        <v>483</v>
      </c>
      <c r="J20" t="s">
        <v>52</v>
      </c>
      <c r="L20" t="s">
        <v>405</v>
      </c>
      <c r="M20" t="s">
        <v>406</v>
      </c>
      <c r="N20" t="s">
        <v>407</v>
      </c>
      <c r="O20" s="1">
        <v>44882</v>
      </c>
      <c r="P20" t="str">
        <f ca="1" t="shared" si="0"/>
        <v>3年4月14天</v>
      </c>
      <c r="Q20" s="1">
        <v>44939</v>
      </c>
      <c r="R20" t="str">
        <f ca="1" t="shared" si="1"/>
        <v>3年2月18天</v>
      </c>
      <c r="S20" t="s">
        <v>42</v>
      </c>
      <c r="T20">
        <v>24440</v>
      </c>
      <c r="U20">
        <v>4940</v>
      </c>
      <c r="V20">
        <v>82755</v>
      </c>
      <c r="W20" t="s">
        <v>484</v>
      </c>
      <c r="Z20">
        <v>19964.92</v>
      </c>
      <c r="AB20" t="s">
        <v>96</v>
      </c>
    </row>
    <row r="21" spans="1:29">
      <c r="A21" t="s">
        <v>382</v>
      </c>
      <c r="B21" t="s">
        <v>485</v>
      </c>
      <c r="C21" t="s">
        <v>486</v>
      </c>
      <c r="E21" t="s">
        <v>487</v>
      </c>
      <c r="F21" t="s">
        <v>135</v>
      </c>
      <c r="G21" t="s">
        <v>445</v>
      </c>
      <c r="H21" t="s">
        <v>403</v>
      </c>
      <c r="I21" t="s">
        <v>488</v>
      </c>
      <c r="J21" t="s">
        <v>52</v>
      </c>
      <c r="L21" t="s">
        <v>405</v>
      </c>
      <c r="M21" t="s">
        <v>489</v>
      </c>
      <c r="N21" t="s">
        <v>407</v>
      </c>
      <c r="O21" s="1">
        <v>45187</v>
      </c>
      <c r="P21" t="str">
        <f ca="1" t="shared" si="0"/>
        <v>2年6月13天</v>
      </c>
      <c r="Q21" s="1">
        <v>45206</v>
      </c>
      <c r="R21" t="str">
        <f ca="1" t="shared" si="1"/>
        <v>2年5月24天</v>
      </c>
      <c r="S21" t="s">
        <v>71</v>
      </c>
      <c r="T21">
        <v>0</v>
      </c>
      <c r="U21">
        <v>0</v>
      </c>
      <c r="V21">
        <v>0</v>
      </c>
      <c r="W21" t="s">
        <v>490</v>
      </c>
      <c r="X21">
        <v>0</v>
      </c>
      <c r="Y21">
        <v>0</v>
      </c>
      <c r="AB21" t="s">
        <v>44</v>
      </c>
    </row>
    <row r="22" spans="1:29">
      <c r="A22" t="s">
        <v>382</v>
      </c>
      <c r="B22" t="s">
        <v>491</v>
      </c>
      <c r="C22" t="s">
        <v>492</v>
      </c>
      <c r="F22" t="s">
        <v>76</v>
      </c>
      <c r="G22" t="s">
        <v>445</v>
      </c>
      <c r="H22" t="s">
        <v>403</v>
      </c>
      <c r="I22" t="s">
        <v>493</v>
      </c>
      <c r="J22" t="s">
        <v>52</v>
      </c>
      <c r="L22" t="s">
        <v>405</v>
      </c>
      <c r="M22" t="s">
        <v>494</v>
      </c>
      <c r="N22" t="s">
        <v>495</v>
      </c>
      <c r="O22" s="1">
        <v>45295</v>
      </c>
      <c r="P22" t="str">
        <f ca="1" t="shared" si="0"/>
        <v>2年2月27天</v>
      </c>
      <c r="Q22" s="1">
        <v>45344</v>
      </c>
      <c r="R22" t="str">
        <f ca="1" t="shared" si="1"/>
        <v>2年1月9天</v>
      </c>
      <c r="S22" t="s">
        <v>71</v>
      </c>
      <c r="T22">
        <v>0</v>
      </c>
      <c r="U22">
        <v>0</v>
      </c>
      <c r="V22">
        <v>0</v>
      </c>
      <c r="AB22" t="s">
        <v>44</v>
      </c>
    </row>
    <row r="23" spans="1:29">
      <c r="A23" t="s">
        <v>496</v>
      </c>
      <c r="B23" t="s">
        <v>497</v>
      </c>
      <c r="C23" t="s">
        <v>498</v>
      </c>
      <c r="F23" t="s">
        <v>33</v>
      </c>
      <c r="G23" t="s">
        <v>445</v>
      </c>
      <c r="H23" t="s">
        <v>403</v>
      </c>
      <c r="I23" t="s">
        <v>412</v>
      </c>
      <c r="J23" t="s">
        <v>37</v>
      </c>
      <c r="L23" t="s">
        <v>405</v>
      </c>
      <c r="M23" t="s">
        <v>499</v>
      </c>
      <c r="N23" t="s">
        <v>495</v>
      </c>
      <c r="O23" s="1">
        <v>45322</v>
      </c>
      <c r="P23" t="str">
        <f ca="1" t="shared" si="0"/>
        <v>2年2月0天</v>
      </c>
      <c r="Q23" s="1">
        <v>45344</v>
      </c>
      <c r="R23" t="str">
        <f ca="1" t="shared" si="1"/>
        <v>2年1月9天</v>
      </c>
      <c r="S23" t="s">
        <v>71</v>
      </c>
      <c r="T23">
        <v>0</v>
      </c>
      <c r="U23">
        <v>0</v>
      </c>
      <c r="V23">
        <v>0</v>
      </c>
      <c r="W23" t="s">
        <v>500</v>
      </c>
      <c r="X23">
        <v>0</v>
      </c>
      <c r="Y23">
        <v>0</v>
      </c>
      <c r="Z23">
        <v>20509.02</v>
      </c>
      <c r="AB23" t="s">
        <v>44</v>
      </c>
    </row>
    <row r="24" spans="1:29">
      <c r="A24" t="s">
        <v>382</v>
      </c>
      <c r="B24" t="s">
        <v>501</v>
      </c>
      <c r="C24" t="s">
        <v>502</v>
      </c>
      <c r="F24" t="s">
        <v>76</v>
      </c>
      <c r="G24" t="s">
        <v>445</v>
      </c>
      <c r="H24" t="s">
        <v>403</v>
      </c>
      <c r="I24" t="s">
        <v>483</v>
      </c>
      <c r="J24" t="s">
        <v>52</v>
      </c>
      <c r="L24" t="s">
        <v>405</v>
      </c>
      <c r="M24" t="s">
        <v>503</v>
      </c>
      <c r="N24" t="s">
        <v>495</v>
      </c>
      <c r="O24" s="1">
        <v>45355</v>
      </c>
      <c r="P24" t="str">
        <f ca="1" t="shared" si="0"/>
        <v>2年27天</v>
      </c>
      <c r="Q24" s="1">
        <v>45391</v>
      </c>
      <c r="R24" t="str">
        <f ca="1" t="shared" si="1"/>
        <v>1年11月22天</v>
      </c>
      <c r="S24" t="s">
        <v>71</v>
      </c>
      <c r="T24">
        <v>0</v>
      </c>
      <c r="U24">
        <v>0</v>
      </c>
      <c r="V24">
        <v>0</v>
      </c>
      <c r="W24" t="s">
        <v>504</v>
      </c>
      <c r="X24">
        <v>0</v>
      </c>
      <c r="Y24">
        <v>0</v>
      </c>
      <c r="AB24" t="s">
        <v>44</v>
      </c>
    </row>
    <row r="25" spans="1:29">
      <c r="A25" t="s">
        <v>382</v>
      </c>
      <c r="B25" t="s">
        <v>505</v>
      </c>
      <c r="C25" t="s">
        <v>506</v>
      </c>
      <c r="D25" t="s">
        <v>32</v>
      </c>
      <c r="F25" t="s">
        <v>76</v>
      </c>
      <c r="G25" t="s">
        <v>402</v>
      </c>
      <c r="H25" t="s">
        <v>403</v>
      </c>
      <c r="I25" t="s">
        <v>412</v>
      </c>
      <c r="J25" t="s">
        <v>37</v>
      </c>
      <c r="L25" t="s">
        <v>405</v>
      </c>
      <c r="M25" t="s">
        <v>406</v>
      </c>
      <c r="N25" t="s">
        <v>407</v>
      </c>
      <c r="O25" s="1">
        <v>45359</v>
      </c>
      <c r="P25" t="str">
        <f ca="1" t="shared" si="0"/>
        <v>2年23天</v>
      </c>
      <c r="Q25" s="1">
        <v>45383</v>
      </c>
      <c r="R25" t="str">
        <f ca="1" t="shared" si="1"/>
        <v>1年11月30天</v>
      </c>
      <c r="S25" t="s">
        <v>71</v>
      </c>
      <c r="T25">
        <v>0</v>
      </c>
      <c r="U25">
        <v>0</v>
      </c>
      <c r="V25">
        <v>0</v>
      </c>
      <c r="W25" s="8" t="s">
        <v>507</v>
      </c>
      <c r="AB25" t="s">
        <v>44</v>
      </c>
    </row>
    <row r="26" s="4" customFormat="1" spans="1:29">
      <c r="A26" s="4" t="s">
        <v>508</v>
      </c>
      <c r="B26" s="4" t="s">
        <v>509</v>
      </c>
      <c r="C26" s="4" t="s">
        <v>510</v>
      </c>
      <c r="F26" s="4" t="s">
        <v>76</v>
      </c>
      <c r="G26" s="4" t="s">
        <v>445</v>
      </c>
      <c r="H26" s="4" t="s">
        <v>403</v>
      </c>
      <c r="I26" s="4" t="s">
        <v>511</v>
      </c>
      <c r="J26" s="4" t="s">
        <v>37</v>
      </c>
      <c r="L26" s="4" t="s">
        <v>405</v>
      </c>
      <c r="M26" s="4" t="s">
        <v>494</v>
      </c>
      <c r="N26" s="4" t="s">
        <v>407</v>
      </c>
      <c r="O26" s="5">
        <v>45364</v>
      </c>
      <c r="P26" s="4" t="str">
        <f ca="1" t="shared" si="0"/>
        <v>2年18天</v>
      </c>
      <c r="Q26" s="5">
        <v>45383</v>
      </c>
      <c r="R26" s="4" t="str">
        <f ca="1" t="shared" si="1"/>
        <v>1年11月30天</v>
      </c>
      <c r="S26" s="4" t="s">
        <v>71</v>
      </c>
      <c r="T26" s="4">
        <v>0</v>
      </c>
      <c r="U26" s="4">
        <v>0</v>
      </c>
      <c r="V26" s="4">
        <v>0</v>
      </c>
      <c r="AB26" s="4" t="s">
        <v>44</v>
      </c>
    </row>
    <row r="27" spans="1:29">
      <c r="A27" t="s">
        <v>512</v>
      </c>
      <c r="B27" t="s">
        <v>513</v>
      </c>
      <c r="C27" t="s">
        <v>514</v>
      </c>
      <c r="D27" t="s">
        <v>32</v>
      </c>
      <c r="F27" t="s">
        <v>33</v>
      </c>
      <c r="G27" t="s">
        <v>445</v>
      </c>
      <c r="H27" t="s">
        <v>403</v>
      </c>
      <c r="I27" t="s">
        <v>478</v>
      </c>
      <c r="J27" t="s">
        <v>37</v>
      </c>
      <c r="K27" t="s">
        <v>515</v>
      </c>
      <c r="L27" t="s">
        <v>516</v>
      </c>
      <c r="M27" t="s">
        <v>447</v>
      </c>
      <c r="N27" t="s">
        <v>407</v>
      </c>
      <c r="O27" s="1">
        <v>45608</v>
      </c>
      <c r="P27" t="str">
        <f ca="1" t="shared" si="0"/>
        <v>1年4月19天</v>
      </c>
      <c r="Q27" s="1">
        <v>45656</v>
      </c>
      <c r="R27" t="str">
        <f ca="1" t="shared" si="1"/>
        <v>1年3月1天</v>
      </c>
      <c r="S27" t="s">
        <v>42</v>
      </c>
      <c r="T27">
        <v>0</v>
      </c>
      <c r="U27">
        <v>0</v>
      </c>
      <c r="V27">
        <v>0</v>
      </c>
      <c r="W27" t="s">
        <v>517</v>
      </c>
      <c r="AB27" t="s">
        <v>44</v>
      </c>
    </row>
    <row r="28" spans="1:29">
      <c r="A28" t="s">
        <v>518</v>
      </c>
      <c r="B28" t="s">
        <v>519</v>
      </c>
      <c r="C28" t="s">
        <v>520</v>
      </c>
      <c r="D28" t="s">
        <v>32</v>
      </c>
      <c r="F28" t="s">
        <v>33</v>
      </c>
      <c r="G28" t="s">
        <v>402</v>
      </c>
      <c r="H28" t="s">
        <v>403</v>
      </c>
      <c r="I28" t="s">
        <v>521</v>
      </c>
      <c r="J28" t="s">
        <v>108</v>
      </c>
      <c r="K28" t="s">
        <v>38</v>
      </c>
      <c r="L28" t="s">
        <v>522</v>
      </c>
      <c r="M28" t="s">
        <v>406</v>
      </c>
      <c r="N28" t="s">
        <v>523</v>
      </c>
      <c r="O28" s="1">
        <v>45625</v>
      </c>
      <c r="P28" t="str">
        <f ca="1" t="shared" si="0"/>
        <v>1年4月2天</v>
      </c>
      <c r="Q28" s="1">
        <v>45655</v>
      </c>
      <c r="R28" t="str">
        <f ca="1" t="shared" si="1"/>
        <v>1年3月2天</v>
      </c>
      <c r="S28" t="s">
        <v>71</v>
      </c>
      <c r="T28">
        <v>49245</v>
      </c>
      <c r="U28">
        <v>11315</v>
      </c>
      <c r="V28">
        <v>60560</v>
      </c>
      <c r="W28" t="s">
        <v>524</v>
      </c>
      <c r="Z28">
        <v>16489.11</v>
      </c>
      <c r="AB28" t="s">
        <v>96</v>
      </c>
    </row>
    <row r="29" spans="1:29">
      <c r="A29" t="s">
        <v>525</v>
      </c>
      <c r="B29" t="s">
        <v>526</v>
      </c>
      <c r="C29" t="s">
        <v>527</v>
      </c>
      <c r="F29" t="s">
        <v>135</v>
      </c>
      <c r="G29" t="s">
        <v>445</v>
      </c>
      <c r="H29" t="s">
        <v>403</v>
      </c>
      <c r="I29" t="s">
        <v>412</v>
      </c>
      <c r="J29" t="s">
        <v>37</v>
      </c>
      <c r="K29" t="s">
        <v>382</v>
      </c>
      <c r="L29" t="s">
        <v>528</v>
      </c>
      <c r="M29" t="s">
        <v>529</v>
      </c>
      <c r="N29" t="s">
        <v>495</v>
      </c>
      <c r="O29" s="1">
        <v>45645</v>
      </c>
      <c r="P29" t="str">
        <f ca="1" t="shared" si="0"/>
        <v>1年3月12天</v>
      </c>
      <c r="Q29" s="1">
        <v>45332</v>
      </c>
      <c r="R29" t="str">
        <f ca="1" t="shared" si="1"/>
        <v>2年1月21天</v>
      </c>
      <c r="S29" t="s">
        <v>42</v>
      </c>
      <c r="T29">
        <v>46200</v>
      </c>
      <c r="U29">
        <v>0</v>
      </c>
      <c r="V29">
        <v>0</v>
      </c>
      <c r="W29" t="s">
        <v>530</v>
      </c>
      <c r="X29">
        <v>0</v>
      </c>
      <c r="Y29">
        <v>0</v>
      </c>
      <c r="Z29">
        <v>32798.58</v>
      </c>
      <c r="AB29" t="s">
        <v>44</v>
      </c>
    </row>
    <row r="30" ht="27" spans="1:29">
      <c r="A30" s="9" t="s">
        <v>531</v>
      </c>
      <c r="C30" t="s">
        <v>532</v>
      </c>
      <c r="F30" t="s">
        <v>33</v>
      </c>
      <c r="G30" t="s">
        <v>402</v>
      </c>
      <c r="H30" t="s">
        <v>403</v>
      </c>
      <c r="I30" t="s">
        <v>533</v>
      </c>
      <c r="J30" t="s">
        <v>37</v>
      </c>
      <c r="K30" t="s">
        <v>38</v>
      </c>
      <c r="L30" t="s">
        <v>528</v>
      </c>
      <c r="M30" t="s">
        <v>534</v>
      </c>
      <c r="N30" t="s">
        <v>535</v>
      </c>
      <c r="O30" s="1">
        <v>45660</v>
      </c>
      <c r="P30" t="str">
        <f ca="1" t="shared" si="0"/>
        <v>1年2月28天</v>
      </c>
      <c r="Q30" s="1">
        <v>45678</v>
      </c>
      <c r="R30" t="str">
        <f ca="1" t="shared" si="1"/>
        <v>1年2月10天</v>
      </c>
      <c r="S30" t="s">
        <v>71</v>
      </c>
      <c r="T30">
        <v>0</v>
      </c>
      <c r="U30">
        <v>0</v>
      </c>
      <c r="V30">
        <v>0</v>
      </c>
      <c r="W30" t="s">
        <v>536</v>
      </c>
      <c r="X30">
        <v>0</v>
      </c>
      <c r="Y30">
        <v>0</v>
      </c>
      <c r="Z30">
        <v>7453.54</v>
      </c>
      <c r="AB30" t="s">
        <v>44</v>
      </c>
    </row>
    <row r="31" ht="27" spans="1:29">
      <c r="A31" s="10" t="s">
        <v>537</v>
      </c>
      <c r="B31" s="6" t="s">
        <v>538</v>
      </c>
      <c r="C31" s="6" t="s">
        <v>539</v>
      </c>
      <c r="F31" t="s">
        <v>33</v>
      </c>
      <c r="G31" t="s">
        <v>445</v>
      </c>
      <c r="H31" t="s">
        <v>403</v>
      </c>
      <c r="I31" t="s">
        <v>404</v>
      </c>
      <c r="J31" t="s">
        <v>108</v>
      </c>
      <c r="K31" t="s">
        <v>540</v>
      </c>
      <c r="M31" t="s">
        <v>541</v>
      </c>
      <c r="N31" t="s">
        <v>212</v>
      </c>
      <c r="O31" s="1">
        <v>45811</v>
      </c>
      <c r="P31" t="str">
        <f ca="1" t="shared" si="0"/>
        <v>9月28天</v>
      </c>
      <c r="Q31" s="1">
        <v>45848</v>
      </c>
      <c r="R31" t="str">
        <f ca="1" t="shared" si="1"/>
        <v>8月21天</v>
      </c>
      <c r="S31" t="s">
        <v>42</v>
      </c>
      <c r="T31">
        <v>0</v>
      </c>
      <c r="U31">
        <v>0</v>
      </c>
      <c r="V31" s="7">
        <v>1750</v>
      </c>
      <c r="W31" t="s">
        <v>542</v>
      </c>
      <c r="X31">
        <v>0</v>
      </c>
      <c r="Y31">
        <v>0</v>
      </c>
      <c r="Z31">
        <v>54870.76</v>
      </c>
      <c r="AA31">
        <v>32998.94</v>
      </c>
      <c r="AB31" t="s">
        <v>44</v>
      </c>
      <c r="AC31" s="3" t="s">
        <v>543</v>
      </c>
    </row>
    <row r="32" spans="1:29">
      <c r="A32" t="s">
        <v>544</v>
      </c>
      <c r="B32" t="s">
        <v>545</v>
      </c>
      <c r="C32" t="s">
        <v>546</v>
      </c>
      <c r="F32" t="s">
        <v>76</v>
      </c>
      <c r="G32" t="s">
        <v>402</v>
      </c>
      <c r="H32" t="s">
        <v>403</v>
      </c>
      <c r="I32" t="s">
        <v>511</v>
      </c>
      <c r="J32" t="s">
        <v>37</v>
      </c>
      <c r="K32" t="s">
        <v>94</v>
      </c>
      <c r="M32" t="s">
        <v>547</v>
      </c>
      <c r="N32" t="s">
        <v>548</v>
      </c>
      <c r="O32" s="1">
        <v>45880</v>
      </c>
      <c r="P32" t="str">
        <f ca="1" t="shared" si="0"/>
        <v>7月20天</v>
      </c>
      <c r="R32" t="str">
        <f ca="1" t="shared" si="1"/>
        <v/>
      </c>
      <c r="S32" t="s">
        <v>71</v>
      </c>
      <c r="T32">
        <v>0</v>
      </c>
      <c r="U32">
        <v>0</v>
      </c>
      <c r="V32">
        <v>0</v>
      </c>
      <c r="W32" t="s">
        <v>549</v>
      </c>
      <c r="X32">
        <v>0</v>
      </c>
      <c r="Y32">
        <v>0</v>
      </c>
      <c r="Z32">
        <v>12484.39</v>
      </c>
      <c r="AB32" t="s">
        <v>96</v>
      </c>
    </row>
    <row r="33" spans="1:28">
      <c r="A33" t="s">
        <v>550</v>
      </c>
      <c r="B33" t="s">
        <v>551</v>
      </c>
      <c r="C33" t="s">
        <v>552</v>
      </c>
      <c r="F33" t="s">
        <v>33</v>
      </c>
      <c r="G33" t="s">
        <v>402</v>
      </c>
      <c r="H33" t="s">
        <v>403</v>
      </c>
      <c r="I33" t="s">
        <v>440</v>
      </c>
      <c r="J33" t="s">
        <v>108</v>
      </c>
      <c r="K33" t="s">
        <v>405</v>
      </c>
      <c r="L33" t="s">
        <v>405</v>
      </c>
      <c r="M33" t="s">
        <v>406</v>
      </c>
      <c r="N33" t="s">
        <v>553</v>
      </c>
      <c r="O33" s="1">
        <v>45950</v>
      </c>
      <c r="P33" t="str">
        <f ca="1" t="shared" si="0"/>
        <v>5月11天</v>
      </c>
      <c r="Q33" s="1">
        <v>45975</v>
      </c>
      <c r="R33" t="str">
        <f ca="1" t="shared" si="1"/>
        <v>4月17天</v>
      </c>
      <c r="S33" t="s">
        <v>111</v>
      </c>
      <c r="T33">
        <v>0</v>
      </c>
      <c r="U33">
        <v>0</v>
      </c>
      <c r="V33">
        <v>0</v>
      </c>
      <c r="W33" t="s">
        <v>554</v>
      </c>
      <c r="X33">
        <v>0</v>
      </c>
      <c r="Y33">
        <v>0</v>
      </c>
      <c r="Z33">
        <v>15819.61</v>
      </c>
      <c r="AA33">
        <v>13754.08</v>
      </c>
      <c r="AB33" t="s">
        <v>96</v>
      </c>
    </row>
    <row r="34" s="4" customFormat="1" spans="1:28">
      <c r="A34" s="4" t="s">
        <v>555</v>
      </c>
      <c r="B34" s="4" t="s">
        <v>556</v>
      </c>
      <c r="C34" s="4" t="s">
        <v>557</v>
      </c>
      <c r="F34" s="4" t="s">
        <v>33</v>
      </c>
      <c r="G34" s="4" t="s">
        <v>445</v>
      </c>
      <c r="H34" s="4" t="s">
        <v>403</v>
      </c>
      <c r="I34" s="4" t="s">
        <v>558</v>
      </c>
      <c r="J34" s="4" t="s">
        <v>108</v>
      </c>
      <c r="K34" s="4" t="s">
        <v>559</v>
      </c>
      <c r="L34" s="4" t="s">
        <v>559</v>
      </c>
      <c r="M34" s="4" t="s">
        <v>541</v>
      </c>
      <c r="N34" s="4" t="s">
        <v>560</v>
      </c>
      <c r="O34" s="5">
        <v>45971</v>
      </c>
      <c r="P34" s="4" t="str">
        <f ca="1" t="shared" si="0"/>
        <v>4月21天</v>
      </c>
      <c r="R34" s="4" t="str">
        <f ca="1" t="shared" si="1"/>
        <v/>
      </c>
      <c r="S34" s="4" t="s">
        <v>42</v>
      </c>
      <c r="T34" s="4">
        <v>21000</v>
      </c>
      <c r="U34" s="4">
        <v>0</v>
      </c>
      <c r="V34" s="4">
        <v>21000</v>
      </c>
      <c r="W34" s="4" t="s">
        <v>561</v>
      </c>
      <c r="X34" s="4">
        <v>0</v>
      </c>
      <c r="Y34" s="4">
        <v>0</v>
      </c>
      <c r="Z34" s="4">
        <v>33116.38</v>
      </c>
      <c r="AB34" s="4" t="s">
        <v>88</v>
      </c>
    </row>
    <row r="35" spans="1:28">
      <c r="A35" t="s">
        <v>562</v>
      </c>
      <c r="B35" t="s">
        <v>563</v>
      </c>
      <c r="C35" t="s">
        <v>564</v>
      </c>
      <c r="F35" t="s">
        <v>33</v>
      </c>
      <c r="G35" t="s">
        <v>402</v>
      </c>
      <c r="H35" t="s">
        <v>403</v>
      </c>
      <c r="I35" t="s">
        <v>565</v>
      </c>
      <c r="J35" t="s">
        <v>37</v>
      </c>
      <c r="L35" t="s">
        <v>94</v>
      </c>
      <c r="M35" t="s">
        <v>406</v>
      </c>
      <c r="N35" t="s">
        <v>407</v>
      </c>
      <c r="O35" s="1">
        <v>46014</v>
      </c>
      <c r="P35" t="str">
        <f ca="1" t="shared" si="0"/>
        <v>3月8天</v>
      </c>
      <c r="R35" t="str">
        <f ca="1" t="shared" si="1"/>
        <v/>
      </c>
      <c r="S35" t="s">
        <v>42</v>
      </c>
      <c r="T35">
        <v>0</v>
      </c>
      <c r="U35">
        <v>93</v>
      </c>
      <c r="V35">
        <v>93</v>
      </c>
      <c r="W35" t="s">
        <v>566</v>
      </c>
      <c r="X35">
        <v>0</v>
      </c>
      <c r="Y35">
        <v>1</v>
      </c>
      <c r="Z35">
        <v>8267.83</v>
      </c>
      <c r="AB35" t="s">
        <v>88</v>
      </c>
    </row>
    <row r="36" s="4" customFormat="1" spans="1:28">
      <c r="A36" s="4" t="s">
        <v>567</v>
      </c>
      <c r="B36" s="4" t="s">
        <v>568</v>
      </c>
      <c r="C36" s="4" t="s">
        <v>569</v>
      </c>
      <c r="E36" s="4" t="s">
        <v>570</v>
      </c>
      <c r="F36" s="4" t="s">
        <v>76</v>
      </c>
      <c r="G36" s="4" t="s">
        <v>445</v>
      </c>
      <c r="H36" s="4" t="s">
        <v>403</v>
      </c>
      <c r="I36" s="4" t="s">
        <v>404</v>
      </c>
      <c r="J36" s="4" t="s">
        <v>108</v>
      </c>
      <c r="K36" s="4" t="s">
        <v>559</v>
      </c>
      <c r="M36" s="4" t="s">
        <v>452</v>
      </c>
      <c r="N36" s="4" t="s">
        <v>110</v>
      </c>
      <c r="O36" s="5">
        <v>46036</v>
      </c>
      <c r="P36" s="4" t="str">
        <f ca="1" t="shared" si="0"/>
        <v>2月17天</v>
      </c>
      <c r="R36" s="4" t="str">
        <f ca="1" t="shared" si="1"/>
        <v/>
      </c>
      <c r="S36" s="4" t="s">
        <v>111</v>
      </c>
      <c r="T36" s="4">
        <v>0</v>
      </c>
      <c r="U36" s="4">
        <v>0</v>
      </c>
      <c r="V36" s="4">
        <v>0</v>
      </c>
      <c r="W36" s="4" t="s">
        <v>571</v>
      </c>
      <c r="X36" s="4">
        <v>0</v>
      </c>
      <c r="Y36" s="4">
        <v>0</v>
      </c>
      <c r="Z36" s="4">
        <v>30602</v>
      </c>
      <c r="AB36" s="4" t="s">
        <v>96</v>
      </c>
    </row>
    <row r="37" spans="1:28">
      <c r="A37" t="s">
        <v>572</v>
      </c>
      <c r="B37" t="s">
        <v>573</v>
      </c>
      <c r="C37" t="s">
        <v>574</v>
      </c>
      <c r="E37" t="s">
        <v>574</v>
      </c>
      <c r="F37" t="s">
        <v>33</v>
      </c>
      <c r="G37" t="s">
        <v>402</v>
      </c>
      <c r="H37" t="s">
        <v>403</v>
      </c>
      <c r="I37" t="s">
        <v>483</v>
      </c>
      <c r="J37" t="s">
        <v>108</v>
      </c>
      <c r="L37" t="s">
        <v>405</v>
      </c>
      <c r="M37" t="s">
        <v>406</v>
      </c>
      <c r="N37" t="s">
        <v>575</v>
      </c>
      <c r="O37" s="1">
        <v>46036</v>
      </c>
      <c r="P37" t="str">
        <f ca="1" t="shared" si="0"/>
        <v>2月17天</v>
      </c>
      <c r="Q37" s="1">
        <v>46066</v>
      </c>
      <c r="R37" t="str">
        <f ca="1" t="shared" si="1"/>
        <v>1月18天</v>
      </c>
      <c r="S37" t="s">
        <v>111</v>
      </c>
      <c r="T37">
        <v>0</v>
      </c>
      <c r="U37">
        <v>0</v>
      </c>
      <c r="V37">
        <v>0</v>
      </c>
      <c r="W37" t="s">
        <v>576</v>
      </c>
      <c r="X37">
        <v>0</v>
      </c>
      <c r="Y37">
        <v>0</v>
      </c>
      <c r="Z37">
        <v>22312.89</v>
      </c>
      <c r="AA37">
        <v>15699.44</v>
      </c>
      <c r="AB37" t="s">
        <v>96</v>
      </c>
    </row>
    <row r="38" spans="1:28">
      <c r="A38" t="s">
        <v>577</v>
      </c>
      <c r="B38" t="s">
        <v>578</v>
      </c>
      <c r="C38" t="s">
        <v>579</v>
      </c>
      <c r="E38" t="s">
        <v>580</v>
      </c>
      <c r="F38" t="s">
        <v>33</v>
      </c>
      <c r="G38" t="s">
        <v>402</v>
      </c>
      <c r="H38" t="s">
        <v>403</v>
      </c>
      <c r="I38" t="s">
        <v>483</v>
      </c>
      <c r="J38" t="s">
        <v>108</v>
      </c>
      <c r="L38" t="s">
        <v>94</v>
      </c>
      <c r="M38" t="s">
        <v>406</v>
      </c>
      <c r="N38" t="s">
        <v>110</v>
      </c>
      <c r="O38" s="1">
        <v>46044</v>
      </c>
      <c r="P38" t="str">
        <f ca="1" t="shared" si="0"/>
        <v>2月9天</v>
      </c>
      <c r="Q38" s="1">
        <v>46081</v>
      </c>
      <c r="R38" t="str">
        <f ca="1" t="shared" si="1"/>
        <v>1月3天</v>
      </c>
      <c r="S38" t="s">
        <v>71</v>
      </c>
      <c r="T38">
        <v>0</v>
      </c>
      <c r="U38">
        <v>0</v>
      </c>
      <c r="V38">
        <v>0</v>
      </c>
      <c r="W38" t="s">
        <v>581</v>
      </c>
      <c r="Z38">
        <v>13978.67</v>
      </c>
      <c r="AA38">
        <v>11226.47</v>
      </c>
      <c r="AB38" t="s">
        <v>96</v>
      </c>
    </row>
    <row r="39" spans="1:28">
      <c r="A39" s="3" t="s">
        <v>582</v>
      </c>
      <c r="B39" t="s">
        <v>583</v>
      </c>
      <c r="C39" t="s">
        <v>584</v>
      </c>
      <c r="E39" t="s">
        <v>584</v>
      </c>
      <c r="F39" t="s">
        <v>33</v>
      </c>
      <c r="G39" t="s">
        <v>402</v>
      </c>
      <c r="H39" t="s">
        <v>403</v>
      </c>
      <c r="I39" t="s">
        <v>440</v>
      </c>
      <c r="J39" t="s">
        <v>108</v>
      </c>
      <c r="K39" t="s">
        <v>522</v>
      </c>
      <c r="L39" t="s">
        <v>522</v>
      </c>
      <c r="M39" t="s">
        <v>406</v>
      </c>
      <c r="N39" t="s">
        <v>585</v>
      </c>
      <c r="O39" s="1">
        <v>46059</v>
      </c>
      <c r="P39" t="str">
        <f ca="1" t="shared" si="0"/>
        <v>1月25天</v>
      </c>
      <c r="R39" t="str">
        <f ca="1" t="shared" si="1"/>
        <v/>
      </c>
      <c r="T39">
        <v>0</v>
      </c>
      <c r="U39">
        <v>0</v>
      </c>
      <c r="V39">
        <v>0</v>
      </c>
      <c r="W39" t="s">
        <v>586</v>
      </c>
      <c r="X39">
        <v>0</v>
      </c>
      <c r="Y39">
        <v>0</v>
      </c>
      <c r="Z39">
        <v>12854.62</v>
      </c>
      <c r="AB39" t="s">
        <v>96</v>
      </c>
    </row>
    <row r="40" spans="1:28">
      <c r="A40" t="s">
        <v>587</v>
      </c>
      <c r="C40" t="s">
        <v>588</v>
      </c>
      <c r="E40" t="s">
        <v>33</v>
      </c>
      <c r="F40" t="s">
        <v>33</v>
      </c>
      <c r="G40" t="s">
        <v>589</v>
      </c>
      <c r="H40" t="s">
        <v>403</v>
      </c>
      <c r="I40" t="s">
        <v>483</v>
      </c>
      <c r="J40" t="s">
        <v>108</v>
      </c>
      <c r="L40" t="s">
        <v>94</v>
      </c>
      <c r="M40" t="s">
        <v>406</v>
      </c>
      <c r="N40" t="s">
        <v>590</v>
      </c>
      <c r="O40" s="1">
        <v>46101</v>
      </c>
      <c r="P40" t="str">
        <f ca="1" t="shared" si="0"/>
        <v>11天</v>
      </c>
      <c r="R40" t="str">
        <f ca="1" t="shared" si="1"/>
        <v/>
      </c>
      <c r="Z40">
        <v>92.58</v>
      </c>
      <c r="AB40" t="s">
        <v>96</v>
      </c>
    </row>
  </sheetData>
  <sheetProtection formatCells="0" formatColumns="0" formatRows="0" insertRows="0" insertColumns="0" insertHyperlinks="0" deleteColumns="0" deleteRows="0" sort="0" autoFilter="0" pivotTables="0"/>
  <hyperlinks>
    <hyperlink ref="W25" r:id="rId1" display="https://guanggu.etrading.cn/"/>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8"/>
  <sheetViews>
    <sheetView workbookViewId="0">
      <selection activeCell="C5" sqref="A5:C5"/>
    </sheetView>
  </sheetViews>
  <sheetFormatPr defaultColWidth="9" defaultRowHeight="13.5"/>
  <cols>
    <col min="15" max="15" width="21.5" customWidth="1"/>
  </cols>
  <sheetData>
    <row r="1" spans="1:29">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591</v>
      </c>
      <c r="X1" t="s">
        <v>22</v>
      </c>
      <c r="Y1" t="s">
        <v>24</v>
      </c>
      <c r="Z1" t="s">
        <v>23</v>
      </c>
      <c r="AA1" t="s">
        <v>25</v>
      </c>
      <c r="AB1" t="s">
        <v>26</v>
      </c>
      <c r="AC1" t="s">
        <v>27</v>
      </c>
    </row>
    <row r="2" spans="1:29">
      <c r="A2" t="s">
        <v>592</v>
      </c>
      <c r="B2" t="s">
        <v>593</v>
      </c>
      <c r="C2" t="s">
        <v>594</v>
      </c>
      <c r="F2" t="s">
        <v>76</v>
      </c>
      <c r="G2" t="s">
        <v>34</v>
      </c>
      <c r="H2" t="s">
        <v>595</v>
      </c>
      <c r="I2" t="s">
        <v>596</v>
      </c>
      <c r="J2" t="s">
        <v>37</v>
      </c>
      <c r="L2" t="s">
        <v>94</v>
      </c>
      <c r="M2" t="s">
        <v>597</v>
      </c>
      <c r="N2" t="s">
        <v>41</v>
      </c>
      <c r="O2" s="1">
        <v>44418</v>
      </c>
      <c r="P2" t="str">
        <f ca="1" t="shared" ref="P2:P18" si="0">IF(O2="","",IF(DATEDIF(O2,NOW(),"Y")&gt;0,DATEDIF(O2,NOW(),"Y")&amp;"年","")&amp;IF(DATEDIF(O2,NOW(),"YM")&gt;0,DATEDIF(O2,NOW(),"YM")&amp;"月","")&amp;DATEDIF(O2,NOW(),"MD")&amp;"天")</f>
        <v>4年7月21天</v>
      </c>
      <c r="Q2" s="1">
        <v>44433</v>
      </c>
      <c r="R2" t="str">
        <f ca="1" t="shared" ref="R2:R18" si="1">IF(Q2="","",IF(DATEDIF(Q2,NOW(),"Y")&gt;0,DATEDIF(Q2,NOW(),"Y")&amp;"年","")&amp;IF(DATEDIF(Q2,NOW(),"YM")&gt;0,DATEDIF(Q2,NOW(),"YM")&amp;"月","")&amp;DATEDIF(Q2,NOW(),"MD")&amp;"天")</f>
        <v>4年7月6天</v>
      </c>
      <c r="S2" t="s">
        <v>42</v>
      </c>
      <c r="T2">
        <v>41725</v>
      </c>
      <c r="U2">
        <v>7650</v>
      </c>
      <c r="V2">
        <v>10345</v>
      </c>
      <c r="W2" t="s">
        <v>598</v>
      </c>
      <c r="X2" t="s">
        <v>599</v>
      </c>
      <c r="Y2">
        <v>0</v>
      </c>
      <c r="Z2">
        <v>0</v>
      </c>
      <c r="AA2">
        <v>11939</v>
      </c>
      <c r="AC2" t="s">
        <v>240</v>
      </c>
    </row>
    <row r="3" spans="1:29">
      <c r="A3" t="s">
        <v>600</v>
      </c>
      <c r="B3" t="s">
        <v>601</v>
      </c>
      <c r="C3" t="s">
        <v>602</v>
      </c>
      <c r="F3" t="s">
        <v>33</v>
      </c>
      <c r="G3" t="s">
        <v>34</v>
      </c>
      <c r="H3" t="s">
        <v>595</v>
      </c>
      <c r="I3" t="s">
        <v>603</v>
      </c>
      <c r="J3" t="s">
        <v>37</v>
      </c>
      <c r="L3" t="s">
        <v>94</v>
      </c>
      <c r="M3" t="s">
        <v>597</v>
      </c>
      <c r="N3" t="s">
        <v>41</v>
      </c>
      <c r="O3" s="1">
        <v>45250</v>
      </c>
      <c r="P3" t="str">
        <f ca="1" t="shared" si="0"/>
        <v>2年4月11天</v>
      </c>
      <c r="Q3" s="1">
        <v>45275</v>
      </c>
      <c r="R3" t="str">
        <f ca="1" t="shared" si="1"/>
        <v>2年3月16天</v>
      </c>
      <c r="S3" t="s">
        <v>42</v>
      </c>
      <c r="T3">
        <v>55110</v>
      </c>
      <c r="U3">
        <v>3870</v>
      </c>
      <c r="V3">
        <v>58980</v>
      </c>
      <c r="W3" t="s">
        <v>604</v>
      </c>
      <c r="X3" t="s">
        <v>605</v>
      </c>
      <c r="Y3">
        <v>0</v>
      </c>
      <c r="Z3">
        <v>0</v>
      </c>
      <c r="AA3">
        <v>1795.89</v>
      </c>
      <c r="AC3" t="s">
        <v>96</v>
      </c>
    </row>
    <row r="4" spans="1:29">
      <c r="A4" t="s">
        <v>606</v>
      </c>
      <c r="B4" t="s">
        <v>607</v>
      </c>
      <c r="C4" t="s">
        <v>608</v>
      </c>
      <c r="E4" t="s">
        <v>32</v>
      </c>
      <c r="F4" t="s">
        <v>33</v>
      </c>
      <c r="G4" t="s">
        <v>34</v>
      </c>
      <c r="H4" t="s">
        <v>595</v>
      </c>
      <c r="I4" t="s">
        <v>609</v>
      </c>
      <c r="J4" t="s">
        <v>52</v>
      </c>
      <c r="L4" t="s">
        <v>94</v>
      </c>
      <c r="M4" t="s">
        <v>597</v>
      </c>
      <c r="N4" t="s">
        <v>41</v>
      </c>
      <c r="O4" s="1">
        <v>45358</v>
      </c>
      <c r="P4" t="str">
        <f ca="1" t="shared" si="0"/>
        <v>2年24天</v>
      </c>
      <c r="Q4" s="1">
        <v>45369</v>
      </c>
      <c r="R4" t="str">
        <f ca="1" t="shared" si="1"/>
        <v>2年13天</v>
      </c>
      <c r="S4" t="s">
        <v>42</v>
      </c>
      <c r="T4">
        <v>367570</v>
      </c>
      <c r="U4">
        <v>0</v>
      </c>
      <c r="V4">
        <v>767865</v>
      </c>
      <c r="W4" t="s">
        <v>598</v>
      </c>
      <c r="X4" t="s">
        <v>610</v>
      </c>
      <c r="Y4">
        <v>0</v>
      </c>
      <c r="Z4">
        <v>0</v>
      </c>
      <c r="AA4">
        <v>24708.5</v>
      </c>
      <c r="AC4" t="s">
        <v>96</v>
      </c>
    </row>
    <row r="5" spans="1:29">
      <c r="A5" s="6" t="s">
        <v>611</v>
      </c>
      <c r="B5" s="6" t="s">
        <v>612</v>
      </c>
      <c r="C5" s="6" t="s">
        <v>613</v>
      </c>
      <c r="F5" t="s">
        <v>33</v>
      </c>
      <c r="G5" t="s">
        <v>34</v>
      </c>
      <c r="H5" t="s">
        <v>595</v>
      </c>
      <c r="I5" t="s">
        <v>614</v>
      </c>
      <c r="J5" t="s">
        <v>37</v>
      </c>
      <c r="L5" t="s">
        <v>615</v>
      </c>
      <c r="M5" t="s">
        <v>597</v>
      </c>
      <c r="N5" t="s">
        <v>130</v>
      </c>
      <c r="O5" s="1">
        <v>45389</v>
      </c>
      <c r="P5" t="str">
        <f ca="1" t="shared" si="0"/>
        <v>1年11月24天</v>
      </c>
      <c r="Q5" s="1">
        <v>45401</v>
      </c>
      <c r="R5" t="str">
        <f ca="1" t="shared" si="1"/>
        <v>1年11月12天</v>
      </c>
      <c r="S5" t="s">
        <v>42</v>
      </c>
      <c r="V5" s="7">
        <v>9940</v>
      </c>
      <c r="W5" t="s">
        <v>604</v>
      </c>
      <c r="X5" t="s">
        <v>616</v>
      </c>
      <c r="Y5">
        <v>0</v>
      </c>
      <c r="Z5">
        <v>0</v>
      </c>
      <c r="AA5">
        <v>17342.33</v>
      </c>
      <c r="AC5" t="s">
        <v>44</v>
      </c>
    </row>
    <row r="6" spans="1:29">
      <c r="A6" t="s">
        <v>617</v>
      </c>
      <c r="B6" t="s">
        <v>618</v>
      </c>
      <c r="C6" t="s">
        <v>619</v>
      </c>
      <c r="D6" t="s">
        <v>620</v>
      </c>
      <c r="F6" t="s">
        <v>33</v>
      </c>
      <c r="G6" t="s">
        <v>34</v>
      </c>
      <c r="H6" t="s">
        <v>595</v>
      </c>
      <c r="I6" t="s">
        <v>609</v>
      </c>
      <c r="J6" t="s">
        <v>52</v>
      </c>
      <c r="L6" t="s">
        <v>615</v>
      </c>
      <c r="M6" t="s">
        <v>597</v>
      </c>
      <c r="N6" t="s">
        <v>41</v>
      </c>
      <c r="O6" s="1">
        <v>45435</v>
      </c>
      <c r="P6" t="str">
        <f ca="1" t="shared" si="0"/>
        <v>1年10月8天</v>
      </c>
      <c r="Q6" s="1">
        <v>45474</v>
      </c>
      <c r="R6" t="str">
        <f ca="1" t="shared" si="1"/>
        <v>1年8月30天</v>
      </c>
      <c r="S6" t="s">
        <v>42</v>
      </c>
      <c r="T6">
        <v>46260</v>
      </c>
      <c r="U6">
        <v>2800</v>
      </c>
      <c r="V6">
        <v>55745</v>
      </c>
      <c r="W6" t="s">
        <v>598</v>
      </c>
      <c r="X6" t="s">
        <v>621</v>
      </c>
      <c r="Y6">
        <v>0</v>
      </c>
      <c r="Z6">
        <v>2</v>
      </c>
      <c r="AA6">
        <v>12923.94</v>
      </c>
      <c r="AC6" t="s">
        <v>96</v>
      </c>
    </row>
    <row r="7" spans="1:29">
      <c r="A7" t="s">
        <v>622</v>
      </c>
      <c r="B7" t="s">
        <v>623</v>
      </c>
      <c r="C7" t="s">
        <v>624</v>
      </c>
      <c r="E7" t="s">
        <v>32</v>
      </c>
      <c r="F7" t="s">
        <v>33</v>
      </c>
      <c r="G7" t="s">
        <v>34</v>
      </c>
      <c r="H7" t="s">
        <v>595</v>
      </c>
      <c r="I7" t="s">
        <v>625</v>
      </c>
      <c r="J7" t="s">
        <v>37</v>
      </c>
      <c r="L7" t="s">
        <v>94</v>
      </c>
      <c r="M7" t="s">
        <v>626</v>
      </c>
      <c r="N7" t="s">
        <v>41</v>
      </c>
      <c r="O7" s="1">
        <v>45440</v>
      </c>
      <c r="P7" t="str">
        <f ca="1" t="shared" si="0"/>
        <v>1年10月3天</v>
      </c>
      <c r="Q7" s="1">
        <v>45477</v>
      </c>
      <c r="R7" t="str">
        <f ca="1" t="shared" si="1"/>
        <v>1年8月27天</v>
      </c>
      <c r="S7" t="s">
        <v>42</v>
      </c>
      <c r="T7">
        <v>117590</v>
      </c>
      <c r="U7">
        <v>32400</v>
      </c>
      <c r="V7">
        <v>215390</v>
      </c>
      <c r="W7" t="s">
        <v>598</v>
      </c>
      <c r="X7" t="s">
        <v>627</v>
      </c>
      <c r="Y7">
        <v>0</v>
      </c>
      <c r="Z7">
        <v>4</v>
      </c>
      <c r="AA7">
        <v>12651.39</v>
      </c>
      <c r="AC7" t="s">
        <v>96</v>
      </c>
    </row>
    <row r="8" spans="1:29">
      <c r="A8" t="s">
        <v>628</v>
      </c>
      <c r="B8" t="s">
        <v>629</v>
      </c>
      <c r="C8" t="s">
        <v>630</v>
      </c>
      <c r="E8" t="s">
        <v>32</v>
      </c>
      <c r="F8" t="s">
        <v>33</v>
      </c>
      <c r="G8" t="s">
        <v>34</v>
      </c>
      <c r="H8" t="s">
        <v>595</v>
      </c>
      <c r="I8" t="s">
        <v>631</v>
      </c>
      <c r="J8" t="s">
        <v>37</v>
      </c>
      <c r="L8" t="s">
        <v>632</v>
      </c>
      <c r="M8" t="s">
        <v>597</v>
      </c>
      <c r="N8" t="s">
        <v>41</v>
      </c>
      <c r="O8" s="1">
        <v>45490</v>
      </c>
      <c r="P8" t="str">
        <f ca="1" t="shared" si="0"/>
        <v>1年8月14天</v>
      </c>
      <c r="R8" t="str">
        <f ca="1" t="shared" si="1"/>
        <v/>
      </c>
      <c r="S8" t="s">
        <v>42</v>
      </c>
      <c r="T8">
        <v>35405</v>
      </c>
      <c r="U8">
        <v>3400</v>
      </c>
      <c r="V8">
        <v>38805</v>
      </c>
      <c r="W8" t="s">
        <v>604</v>
      </c>
      <c r="X8" t="s">
        <v>633</v>
      </c>
      <c r="Y8">
        <v>0</v>
      </c>
      <c r="Z8">
        <v>1</v>
      </c>
      <c r="AA8">
        <v>11317.31</v>
      </c>
      <c r="AC8" t="s">
        <v>96</v>
      </c>
    </row>
    <row r="9" spans="1:29">
      <c r="A9" t="s">
        <v>634</v>
      </c>
      <c r="B9" t="s">
        <v>635</v>
      </c>
      <c r="C9" t="s">
        <v>636</v>
      </c>
      <c r="D9" t="s">
        <v>637</v>
      </c>
      <c r="F9" t="s">
        <v>33</v>
      </c>
      <c r="G9" t="s">
        <v>34</v>
      </c>
      <c r="H9" t="s">
        <v>595</v>
      </c>
      <c r="I9" t="s">
        <v>609</v>
      </c>
      <c r="J9" t="s">
        <v>37</v>
      </c>
      <c r="L9" t="s">
        <v>615</v>
      </c>
      <c r="M9" t="s">
        <v>597</v>
      </c>
      <c r="N9" t="s">
        <v>41</v>
      </c>
      <c r="O9" s="1">
        <v>45593</v>
      </c>
      <c r="P9" t="str">
        <f ca="1" t="shared" si="0"/>
        <v>1年5月3天</v>
      </c>
      <c r="Q9" s="1">
        <v>45611</v>
      </c>
      <c r="R9" t="str">
        <f ca="1" t="shared" si="1"/>
        <v>1年4月16天</v>
      </c>
      <c r="S9" t="s">
        <v>42</v>
      </c>
      <c r="T9">
        <v>19055</v>
      </c>
      <c r="U9">
        <v>1500</v>
      </c>
      <c r="V9">
        <v>20555</v>
      </c>
      <c r="W9" t="s">
        <v>598</v>
      </c>
      <c r="AA9">
        <v>22824.74</v>
      </c>
      <c r="AC9" t="s">
        <v>88</v>
      </c>
    </row>
    <row r="10" spans="1:29">
      <c r="A10" t="s">
        <v>638</v>
      </c>
      <c r="B10" t="s">
        <v>639</v>
      </c>
      <c r="C10" t="s">
        <v>640</v>
      </c>
      <c r="E10" t="s">
        <v>32</v>
      </c>
      <c r="F10" t="s">
        <v>33</v>
      </c>
      <c r="G10" t="s">
        <v>34</v>
      </c>
      <c r="H10" t="s">
        <v>595</v>
      </c>
      <c r="I10" t="s">
        <v>609</v>
      </c>
      <c r="J10" t="s">
        <v>52</v>
      </c>
      <c r="K10" t="s">
        <v>38</v>
      </c>
      <c r="L10" t="s">
        <v>632</v>
      </c>
      <c r="M10" t="s">
        <v>597</v>
      </c>
      <c r="N10" t="s">
        <v>641</v>
      </c>
      <c r="O10" s="1">
        <v>45726</v>
      </c>
      <c r="P10" t="str">
        <f ca="1" t="shared" si="0"/>
        <v>1年21天</v>
      </c>
      <c r="R10" t="str">
        <f ca="1" t="shared" si="1"/>
        <v/>
      </c>
      <c r="S10" t="s">
        <v>42</v>
      </c>
      <c r="T10">
        <v>9040</v>
      </c>
      <c r="U10">
        <v>3450</v>
      </c>
      <c r="V10">
        <v>12490</v>
      </c>
      <c r="W10" t="s">
        <v>598</v>
      </c>
      <c r="X10" t="s">
        <v>642</v>
      </c>
      <c r="Y10">
        <v>0</v>
      </c>
      <c r="Z10">
        <v>0</v>
      </c>
      <c r="AA10">
        <v>22112.57</v>
      </c>
      <c r="AC10" t="s">
        <v>88</v>
      </c>
    </row>
    <row r="11" spans="1:29">
      <c r="A11" t="s">
        <v>643</v>
      </c>
      <c r="B11" t="s">
        <v>644</v>
      </c>
      <c r="C11" t="s">
        <v>645</v>
      </c>
      <c r="E11" t="s">
        <v>32</v>
      </c>
      <c r="F11" t="s">
        <v>33</v>
      </c>
      <c r="G11" t="s">
        <v>34</v>
      </c>
      <c r="H11" t="s">
        <v>595</v>
      </c>
      <c r="J11" t="s">
        <v>52</v>
      </c>
      <c r="K11" t="s">
        <v>38</v>
      </c>
      <c r="L11" t="s">
        <v>632</v>
      </c>
      <c r="M11" t="s">
        <v>597</v>
      </c>
      <c r="N11" t="s">
        <v>641</v>
      </c>
      <c r="O11" s="1">
        <v>45776</v>
      </c>
      <c r="P11" t="str">
        <f ca="1" t="shared" si="0"/>
        <v>11月2天</v>
      </c>
      <c r="R11" t="str">
        <f ca="1" t="shared" si="1"/>
        <v/>
      </c>
      <c r="S11" t="s">
        <v>42</v>
      </c>
      <c r="T11">
        <v>20020</v>
      </c>
      <c r="U11">
        <v>5250</v>
      </c>
      <c r="V11">
        <v>25270</v>
      </c>
      <c r="W11" t="s">
        <v>598</v>
      </c>
      <c r="X11" t="s">
        <v>646</v>
      </c>
      <c r="Y11">
        <v>0</v>
      </c>
      <c r="Z11">
        <v>0</v>
      </c>
      <c r="AA11">
        <v>29528.77</v>
      </c>
      <c r="AC11" t="s">
        <v>88</v>
      </c>
    </row>
    <row r="12" spans="1:29">
      <c r="A12" t="s">
        <v>647</v>
      </c>
      <c r="B12" t="s">
        <v>648</v>
      </c>
      <c r="C12" t="s">
        <v>649</v>
      </c>
      <c r="E12" t="s">
        <v>32</v>
      </c>
      <c r="F12" t="s">
        <v>33</v>
      </c>
      <c r="G12" t="s">
        <v>34</v>
      </c>
      <c r="H12" t="s">
        <v>595</v>
      </c>
      <c r="I12" t="s">
        <v>650</v>
      </c>
      <c r="J12" t="s">
        <v>108</v>
      </c>
      <c r="K12" t="s">
        <v>38</v>
      </c>
      <c r="L12" t="s">
        <v>615</v>
      </c>
      <c r="M12" t="s">
        <v>597</v>
      </c>
      <c r="N12" t="s">
        <v>651</v>
      </c>
      <c r="O12" s="1">
        <v>45809</v>
      </c>
      <c r="P12" t="str">
        <f ca="1" t="shared" si="0"/>
        <v>9月30天</v>
      </c>
      <c r="R12" t="str">
        <f ca="1" t="shared" si="1"/>
        <v/>
      </c>
      <c r="S12" t="s">
        <v>42</v>
      </c>
      <c r="T12">
        <v>69005</v>
      </c>
      <c r="U12">
        <v>17320</v>
      </c>
      <c r="V12">
        <v>85325</v>
      </c>
      <c r="W12" t="s">
        <v>598</v>
      </c>
      <c r="X12" t="s">
        <v>652</v>
      </c>
      <c r="Y12">
        <v>0</v>
      </c>
      <c r="Z12">
        <v>0</v>
      </c>
      <c r="AA12">
        <v>48296.97</v>
      </c>
      <c r="AC12" t="s">
        <v>88</v>
      </c>
    </row>
    <row r="13" spans="1:29">
      <c r="A13" t="s">
        <v>653</v>
      </c>
      <c r="B13" t="s">
        <v>654</v>
      </c>
      <c r="C13" t="s">
        <v>655</v>
      </c>
      <c r="D13" t="s">
        <v>656</v>
      </c>
      <c r="E13" t="s">
        <v>32</v>
      </c>
      <c r="F13" t="s">
        <v>33</v>
      </c>
      <c r="G13" t="s">
        <v>34</v>
      </c>
      <c r="H13" t="s">
        <v>595</v>
      </c>
      <c r="J13" t="s">
        <v>108</v>
      </c>
      <c r="K13" t="s">
        <v>38</v>
      </c>
      <c r="L13" t="s">
        <v>615</v>
      </c>
      <c r="M13" t="s">
        <v>597</v>
      </c>
      <c r="N13" t="s">
        <v>110</v>
      </c>
      <c r="O13" s="1">
        <v>45926</v>
      </c>
      <c r="P13" t="str">
        <f ca="1" t="shared" si="0"/>
        <v>6月5天</v>
      </c>
      <c r="R13" t="str">
        <f ca="1" t="shared" si="1"/>
        <v/>
      </c>
      <c r="S13" t="s">
        <v>71</v>
      </c>
      <c r="T13">
        <v>0</v>
      </c>
      <c r="U13">
        <v>0</v>
      </c>
      <c r="V13">
        <v>0</v>
      </c>
      <c r="X13" t="s">
        <v>657</v>
      </c>
      <c r="Y13">
        <v>0</v>
      </c>
      <c r="Z13">
        <v>0</v>
      </c>
      <c r="AA13">
        <v>29917.61</v>
      </c>
      <c r="AC13" t="s">
        <v>96</v>
      </c>
    </row>
    <row r="14" spans="1:29">
      <c r="A14" t="s">
        <v>658</v>
      </c>
      <c r="B14" t="s">
        <v>659</v>
      </c>
      <c r="C14" t="s">
        <v>660</v>
      </c>
      <c r="D14" t="s">
        <v>660</v>
      </c>
      <c r="F14" t="s">
        <v>33</v>
      </c>
      <c r="G14" t="s">
        <v>34</v>
      </c>
      <c r="H14" t="s">
        <v>595</v>
      </c>
      <c r="I14" t="s">
        <v>631</v>
      </c>
      <c r="J14" t="s">
        <v>37</v>
      </c>
      <c r="L14" t="s">
        <v>632</v>
      </c>
      <c r="M14" t="s">
        <v>597</v>
      </c>
      <c r="N14" t="s">
        <v>41</v>
      </c>
      <c r="O14" s="1">
        <v>46006</v>
      </c>
      <c r="P14" t="str">
        <f ca="1" t="shared" si="0"/>
        <v>3月16天</v>
      </c>
      <c r="Q14" s="1">
        <v>46006</v>
      </c>
      <c r="R14" t="str">
        <f ca="1" t="shared" si="1"/>
        <v>3月16天</v>
      </c>
      <c r="S14" t="s">
        <v>71</v>
      </c>
      <c r="T14">
        <v>0</v>
      </c>
      <c r="U14">
        <v>0</v>
      </c>
      <c r="V14">
        <v>0</v>
      </c>
      <c r="W14" t="s">
        <v>661</v>
      </c>
      <c r="X14" t="s">
        <v>662</v>
      </c>
      <c r="Y14">
        <v>0</v>
      </c>
      <c r="Z14">
        <v>0</v>
      </c>
      <c r="AA14">
        <v>16360.9</v>
      </c>
      <c r="AC14" t="s">
        <v>103</v>
      </c>
    </row>
    <row r="15" spans="1:29">
      <c r="A15" t="s">
        <v>663</v>
      </c>
      <c r="B15" t="s">
        <v>664</v>
      </c>
      <c r="C15" t="s">
        <v>665</v>
      </c>
      <c r="F15" t="s">
        <v>33</v>
      </c>
      <c r="G15" t="s">
        <v>34</v>
      </c>
      <c r="H15" t="s">
        <v>595</v>
      </c>
      <c r="I15" t="s">
        <v>650</v>
      </c>
      <c r="J15" t="s">
        <v>37</v>
      </c>
      <c r="K15" t="s">
        <v>38</v>
      </c>
      <c r="L15" t="s">
        <v>101</v>
      </c>
      <c r="M15" t="s">
        <v>597</v>
      </c>
      <c r="N15" t="s">
        <v>641</v>
      </c>
      <c r="O15" s="1">
        <v>46078</v>
      </c>
      <c r="P15" t="str">
        <f ca="1" t="shared" si="0"/>
        <v>1月6天</v>
      </c>
      <c r="Q15" s="1">
        <v>46090</v>
      </c>
      <c r="R15" t="str">
        <f ca="1" t="shared" si="1"/>
        <v>22天</v>
      </c>
      <c r="S15" t="s">
        <v>42</v>
      </c>
      <c r="T15">
        <v>0</v>
      </c>
      <c r="U15">
        <v>0</v>
      </c>
      <c r="V15">
        <v>0</v>
      </c>
      <c r="W15" t="s">
        <v>598</v>
      </c>
      <c r="X15" t="s">
        <v>666</v>
      </c>
      <c r="Y15">
        <v>0</v>
      </c>
      <c r="Z15">
        <v>0</v>
      </c>
      <c r="AA15">
        <v>14345.95</v>
      </c>
      <c r="AB15">
        <v>9570.24</v>
      </c>
      <c r="AC15" t="s">
        <v>96</v>
      </c>
    </row>
    <row r="16" spans="1:29">
      <c r="A16" t="s">
        <v>667</v>
      </c>
      <c r="B16" t="s">
        <v>654</v>
      </c>
      <c r="C16" t="s">
        <v>668</v>
      </c>
      <c r="D16" t="s">
        <v>668</v>
      </c>
      <c r="F16" t="s">
        <v>33</v>
      </c>
      <c r="G16" t="s">
        <v>669</v>
      </c>
      <c r="H16" t="s">
        <v>595</v>
      </c>
      <c r="I16" t="s">
        <v>631</v>
      </c>
      <c r="J16" t="s">
        <v>108</v>
      </c>
      <c r="K16" t="s">
        <v>522</v>
      </c>
      <c r="L16" t="s">
        <v>522</v>
      </c>
      <c r="M16" t="s">
        <v>597</v>
      </c>
      <c r="N16" t="s">
        <v>651</v>
      </c>
      <c r="O16" s="1">
        <v>46100</v>
      </c>
      <c r="P16" t="str">
        <f ca="1" t="shared" si="0"/>
        <v>12天</v>
      </c>
      <c r="R16" t="str">
        <f ca="1" t="shared" si="1"/>
        <v/>
      </c>
      <c r="S16" t="s">
        <v>111</v>
      </c>
      <c r="V16">
        <v>0</v>
      </c>
      <c r="X16" t="s">
        <v>657</v>
      </c>
      <c r="Y16">
        <v>0</v>
      </c>
      <c r="Z16">
        <v>0</v>
      </c>
      <c r="AC16" t="s">
        <v>96</v>
      </c>
    </row>
    <row r="17" spans="1:29">
      <c r="A17" s="3" t="s">
        <v>382</v>
      </c>
      <c r="C17" t="s">
        <v>670</v>
      </c>
      <c r="G17" t="s">
        <v>669</v>
      </c>
      <c r="H17" t="s">
        <v>595</v>
      </c>
      <c r="I17" t="s">
        <v>671</v>
      </c>
      <c r="J17" t="s">
        <v>108</v>
      </c>
      <c r="K17" t="s">
        <v>522</v>
      </c>
      <c r="L17" t="s">
        <v>522</v>
      </c>
      <c r="M17" t="s">
        <v>672</v>
      </c>
      <c r="N17" t="s">
        <v>553</v>
      </c>
      <c r="O17" s="1">
        <v>46088</v>
      </c>
      <c r="P17" t="str">
        <f ca="1" t="shared" si="0"/>
        <v>24天</v>
      </c>
      <c r="R17" t="str">
        <f ca="1" t="shared" si="1"/>
        <v/>
      </c>
      <c r="V17">
        <v>0</v>
      </c>
      <c r="AC17" t="s">
        <v>96</v>
      </c>
    </row>
    <row r="18" spans="1:29">
      <c r="A18" s="3" t="s">
        <v>382</v>
      </c>
      <c r="C18" t="s">
        <v>673</v>
      </c>
      <c r="E18" t="s">
        <v>33</v>
      </c>
      <c r="F18" t="s">
        <v>33</v>
      </c>
      <c r="G18" t="s">
        <v>669</v>
      </c>
      <c r="H18" t="s">
        <v>595</v>
      </c>
      <c r="I18" t="s">
        <v>674</v>
      </c>
      <c r="J18" t="s">
        <v>108</v>
      </c>
      <c r="L18" t="s">
        <v>615</v>
      </c>
      <c r="M18" t="s">
        <v>597</v>
      </c>
      <c r="N18" t="s">
        <v>590</v>
      </c>
      <c r="O18" s="1">
        <v>46100</v>
      </c>
      <c r="P18" t="str">
        <f ca="1" t="shared" si="0"/>
        <v>12天</v>
      </c>
      <c r="R18" t="str">
        <f ca="1" t="shared" si="1"/>
        <v/>
      </c>
      <c r="V18">
        <v>0</v>
      </c>
      <c r="AC18"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6"/>
  <sheetViews>
    <sheetView workbookViewId="0">
      <selection activeCell="W22" sqref="W22"/>
    </sheetView>
  </sheetViews>
  <sheetFormatPr defaultColWidth="9" defaultRowHeight="13.5"/>
  <cols>
    <col min="1" max="1" width="20.875" customWidth="1"/>
    <col min="3" max="3" width="25.7083333333333" customWidth="1"/>
    <col min="15" max="15" width="21.5" customWidth="1"/>
  </cols>
  <sheetData>
    <row r="1" spans="1:28">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675</v>
      </c>
      <c r="B2" t="s">
        <v>676</v>
      </c>
      <c r="C2" t="s">
        <v>677</v>
      </c>
      <c r="F2" t="s">
        <v>33</v>
      </c>
      <c r="G2" t="s">
        <v>49</v>
      </c>
      <c r="H2" t="s">
        <v>678</v>
      </c>
      <c r="I2" t="s">
        <v>679</v>
      </c>
      <c r="J2" t="s">
        <v>52</v>
      </c>
      <c r="K2" t="s">
        <v>680</v>
      </c>
      <c r="L2" t="s">
        <v>53</v>
      </c>
      <c r="M2" t="s">
        <v>681</v>
      </c>
      <c r="N2" t="s">
        <v>55</v>
      </c>
      <c r="O2" s="1">
        <v>44516</v>
      </c>
      <c r="P2" t="str">
        <f ca="1" t="shared" ref="P2:P26" si="0">IF(O2="","",IF(DATEDIF(O2,NOW(),"Y")&gt;0,DATEDIF(O2,NOW(),"Y")&amp;"年","")&amp;IF(DATEDIF(O2,NOW(),"YM")&gt;0,DATEDIF(O2,NOW(),"YM")&amp;"月","")&amp;DATEDIF(O2,NOW(),"MD")&amp;"天")</f>
        <v>4年4月15天</v>
      </c>
      <c r="Q2" s="1">
        <v>44533</v>
      </c>
      <c r="R2" t="str">
        <f ca="1" t="shared" ref="R2:R26" si="1">IF(Q2="","",IF(DATEDIF(Q2,NOW(),"Y")&gt;0,DATEDIF(Q2,NOW(),"Y")&amp;"年","")&amp;IF(DATEDIF(Q2,NOW(),"YM")&gt;0,DATEDIF(Q2,NOW(),"YM")&amp;"月","")&amp;DATEDIF(Q2,NOW(),"MD")&amp;"天")</f>
        <v>4年3月28天</v>
      </c>
      <c r="S2" t="s">
        <v>42</v>
      </c>
      <c r="T2">
        <v>6372.65</v>
      </c>
      <c r="U2">
        <v>1280</v>
      </c>
      <c r="V2">
        <v>103717.65</v>
      </c>
      <c r="W2" t="s">
        <v>682</v>
      </c>
      <c r="X2">
        <v>1</v>
      </c>
      <c r="Y2">
        <v>0</v>
      </c>
      <c r="Z2">
        <v>20266.15</v>
      </c>
      <c r="AB2" t="s">
        <v>96</v>
      </c>
    </row>
    <row r="3" spans="1:28">
      <c r="A3" t="s">
        <v>683</v>
      </c>
      <c r="B3" t="s">
        <v>684</v>
      </c>
      <c r="C3" t="s">
        <v>685</v>
      </c>
      <c r="F3" t="s">
        <v>33</v>
      </c>
      <c r="G3" t="s">
        <v>49</v>
      </c>
      <c r="H3" t="s">
        <v>678</v>
      </c>
      <c r="I3" t="s">
        <v>686</v>
      </c>
      <c r="J3" t="s">
        <v>52</v>
      </c>
      <c r="L3" t="s">
        <v>188</v>
      </c>
      <c r="M3" t="s">
        <v>681</v>
      </c>
      <c r="N3" t="s">
        <v>55</v>
      </c>
      <c r="O3" s="1">
        <v>44571</v>
      </c>
      <c r="P3" t="str">
        <f ca="1" t="shared" si="0"/>
        <v>4年2月21天</v>
      </c>
      <c r="Q3" s="1">
        <v>44582</v>
      </c>
      <c r="R3" t="str">
        <f ca="1" t="shared" si="1"/>
        <v>4年2月10天</v>
      </c>
      <c r="S3" t="s">
        <v>42</v>
      </c>
      <c r="T3">
        <v>0</v>
      </c>
      <c r="U3">
        <v>0</v>
      </c>
      <c r="V3">
        <v>19100</v>
      </c>
      <c r="W3" t="s">
        <v>687</v>
      </c>
      <c r="X3">
        <v>0</v>
      </c>
      <c r="Y3">
        <v>0</v>
      </c>
      <c r="AB3" t="s">
        <v>57</v>
      </c>
    </row>
    <row r="4" spans="1:28">
      <c r="A4" t="s">
        <v>688</v>
      </c>
      <c r="B4" t="s">
        <v>689</v>
      </c>
      <c r="C4" t="s">
        <v>690</v>
      </c>
      <c r="F4" t="s">
        <v>33</v>
      </c>
      <c r="G4" t="s">
        <v>49</v>
      </c>
      <c r="H4" t="s">
        <v>678</v>
      </c>
      <c r="I4" t="s">
        <v>691</v>
      </c>
      <c r="J4" t="s">
        <v>52</v>
      </c>
      <c r="L4" t="s">
        <v>53</v>
      </c>
      <c r="M4" t="s">
        <v>681</v>
      </c>
      <c r="N4" t="s">
        <v>55</v>
      </c>
      <c r="O4" s="1">
        <v>44606</v>
      </c>
      <c r="P4" t="str">
        <f ca="1" t="shared" si="0"/>
        <v>4年1月17天</v>
      </c>
      <c r="Q4" s="1">
        <v>44631</v>
      </c>
      <c r="R4" t="str">
        <f ca="1" t="shared" si="1"/>
        <v>4年20天</v>
      </c>
      <c r="S4" t="s">
        <v>42</v>
      </c>
      <c r="T4">
        <v>6095</v>
      </c>
      <c r="U4">
        <v>960</v>
      </c>
      <c r="V4">
        <v>17925</v>
      </c>
      <c r="W4" t="s">
        <v>692</v>
      </c>
      <c r="X4">
        <v>0</v>
      </c>
      <c r="Y4">
        <v>0</v>
      </c>
      <c r="Z4">
        <v>7958.13</v>
      </c>
      <c r="AB4" t="s">
        <v>240</v>
      </c>
    </row>
    <row r="5" spans="1:28">
      <c r="A5" t="s">
        <v>693</v>
      </c>
      <c r="B5" t="s">
        <v>694</v>
      </c>
      <c r="C5" t="s">
        <v>695</v>
      </c>
      <c r="F5" t="s">
        <v>135</v>
      </c>
      <c r="G5" t="s">
        <v>49</v>
      </c>
      <c r="H5" t="s">
        <v>678</v>
      </c>
      <c r="I5" t="s">
        <v>696</v>
      </c>
      <c r="J5" t="s">
        <v>52</v>
      </c>
      <c r="L5" t="s">
        <v>53</v>
      </c>
      <c r="M5" t="s">
        <v>681</v>
      </c>
      <c r="N5" t="s">
        <v>55</v>
      </c>
      <c r="O5" s="1">
        <v>44770</v>
      </c>
      <c r="P5" t="str">
        <f ca="1" t="shared" si="0"/>
        <v>3年8月3天</v>
      </c>
      <c r="Q5" s="1">
        <v>44832</v>
      </c>
      <c r="R5" t="str">
        <f ca="1" t="shared" si="1"/>
        <v>3年6月3天</v>
      </c>
      <c r="S5" t="s">
        <v>42</v>
      </c>
      <c r="T5">
        <v>0</v>
      </c>
      <c r="U5">
        <v>0</v>
      </c>
      <c r="V5">
        <v>2858.06</v>
      </c>
      <c r="W5" t="s">
        <v>697</v>
      </c>
      <c r="X5">
        <v>0</v>
      </c>
      <c r="Y5">
        <v>0</v>
      </c>
      <c r="AB5" t="s">
        <v>57</v>
      </c>
    </row>
    <row r="6" spans="1:28">
      <c r="A6" t="s">
        <v>698</v>
      </c>
      <c r="B6" t="s">
        <v>699</v>
      </c>
      <c r="C6" t="s">
        <v>700</v>
      </c>
      <c r="D6" t="s">
        <v>701</v>
      </c>
      <c r="F6" t="s">
        <v>33</v>
      </c>
      <c r="G6" t="s">
        <v>49</v>
      </c>
      <c r="H6" t="s">
        <v>678</v>
      </c>
      <c r="I6" t="s">
        <v>702</v>
      </c>
      <c r="J6" t="s">
        <v>52</v>
      </c>
      <c r="L6" t="s">
        <v>53</v>
      </c>
      <c r="M6" t="s">
        <v>681</v>
      </c>
      <c r="N6" t="s">
        <v>55</v>
      </c>
      <c r="O6" s="1">
        <v>44802</v>
      </c>
      <c r="P6" t="str">
        <f ca="1" t="shared" si="0"/>
        <v>3年7月2天</v>
      </c>
      <c r="Q6" s="1">
        <v>44845</v>
      </c>
      <c r="R6" t="str">
        <f ca="1" t="shared" si="1"/>
        <v>3年5月20天</v>
      </c>
      <c r="S6" t="s">
        <v>42</v>
      </c>
      <c r="T6">
        <v>0</v>
      </c>
      <c r="U6">
        <v>0</v>
      </c>
      <c r="V6">
        <v>1950</v>
      </c>
      <c r="W6" t="s">
        <v>703</v>
      </c>
      <c r="X6">
        <v>0</v>
      </c>
      <c r="Y6">
        <v>0</v>
      </c>
      <c r="AB6" t="s">
        <v>57</v>
      </c>
    </row>
    <row r="7" spans="1:28">
      <c r="A7" t="s">
        <v>704</v>
      </c>
      <c r="B7" t="s">
        <v>705</v>
      </c>
      <c r="C7" t="s">
        <v>706</v>
      </c>
      <c r="F7" t="s">
        <v>33</v>
      </c>
      <c r="G7" t="s">
        <v>49</v>
      </c>
      <c r="H7" t="s">
        <v>678</v>
      </c>
      <c r="I7" t="s">
        <v>707</v>
      </c>
      <c r="J7" t="s">
        <v>52</v>
      </c>
      <c r="L7" t="s">
        <v>53</v>
      </c>
      <c r="M7" t="s">
        <v>708</v>
      </c>
      <c r="N7" t="s">
        <v>55</v>
      </c>
      <c r="O7" s="1">
        <v>44879</v>
      </c>
      <c r="P7" t="str">
        <f ca="1" t="shared" si="0"/>
        <v>3年4月17天</v>
      </c>
      <c r="Q7" s="1">
        <v>44907</v>
      </c>
      <c r="R7" t="str">
        <f ca="1" t="shared" si="1"/>
        <v>3年3月19天</v>
      </c>
      <c r="S7" t="s">
        <v>42</v>
      </c>
      <c r="T7">
        <v>0</v>
      </c>
      <c r="U7">
        <v>0</v>
      </c>
      <c r="V7">
        <v>3200</v>
      </c>
      <c r="W7" t="s">
        <v>709</v>
      </c>
      <c r="X7">
        <v>0</v>
      </c>
      <c r="Y7">
        <v>0</v>
      </c>
      <c r="AB7" t="s">
        <v>57</v>
      </c>
    </row>
    <row r="8" spans="1:28">
      <c r="A8" t="s">
        <v>710</v>
      </c>
      <c r="B8" t="s">
        <v>711</v>
      </c>
      <c r="C8" t="s">
        <v>712</v>
      </c>
      <c r="D8" t="s">
        <v>713</v>
      </c>
      <c r="F8" t="s">
        <v>33</v>
      </c>
      <c r="G8" t="s">
        <v>49</v>
      </c>
      <c r="H8" t="s">
        <v>678</v>
      </c>
      <c r="I8" t="s">
        <v>714</v>
      </c>
      <c r="J8" t="s">
        <v>52</v>
      </c>
      <c r="L8" t="s">
        <v>53</v>
      </c>
      <c r="M8" t="s">
        <v>681</v>
      </c>
      <c r="N8" t="s">
        <v>55</v>
      </c>
      <c r="O8" s="1">
        <v>44985</v>
      </c>
      <c r="P8" t="str">
        <f ca="1" t="shared" si="0"/>
        <v>3年1月3天</v>
      </c>
      <c r="Q8" s="1">
        <v>45014</v>
      </c>
      <c r="R8" t="str">
        <f ca="1" t="shared" si="1"/>
        <v>3年2天</v>
      </c>
      <c r="S8" t="s">
        <v>42</v>
      </c>
      <c r="T8">
        <v>8575</v>
      </c>
      <c r="U8">
        <v>0</v>
      </c>
      <c r="V8">
        <v>26710</v>
      </c>
      <c r="W8" t="s">
        <v>715</v>
      </c>
      <c r="X8">
        <v>0</v>
      </c>
      <c r="Y8">
        <v>0</v>
      </c>
      <c r="Z8">
        <v>6095.09</v>
      </c>
      <c r="AB8" t="s">
        <v>96</v>
      </c>
    </row>
    <row r="9" spans="1:28">
      <c r="A9" t="s">
        <v>382</v>
      </c>
      <c r="B9" t="s">
        <v>716</v>
      </c>
      <c r="C9" t="s">
        <v>717</v>
      </c>
      <c r="F9" t="s">
        <v>135</v>
      </c>
      <c r="G9" t="s">
        <v>49</v>
      </c>
      <c r="H9" t="s">
        <v>678</v>
      </c>
      <c r="I9" t="s">
        <v>707</v>
      </c>
      <c r="J9" t="s">
        <v>52</v>
      </c>
      <c r="L9" t="s">
        <v>53</v>
      </c>
      <c r="M9" t="s">
        <v>708</v>
      </c>
      <c r="N9" t="s">
        <v>55</v>
      </c>
      <c r="O9" s="1">
        <v>45030</v>
      </c>
      <c r="P9" t="str">
        <f ca="1" t="shared" si="0"/>
        <v>2年11月17天</v>
      </c>
      <c r="Q9" s="1">
        <v>45243</v>
      </c>
      <c r="R9" t="str">
        <f ca="1" t="shared" si="1"/>
        <v>2年4月18天</v>
      </c>
      <c r="S9" t="s">
        <v>71</v>
      </c>
      <c r="T9">
        <v>0</v>
      </c>
      <c r="U9">
        <v>0</v>
      </c>
      <c r="V9">
        <v>0</v>
      </c>
      <c r="W9" t="s">
        <v>718</v>
      </c>
      <c r="X9">
        <v>0</v>
      </c>
      <c r="Y9">
        <v>0</v>
      </c>
      <c r="AB9" t="s">
        <v>44</v>
      </c>
    </row>
    <row r="10" spans="1:28">
      <c r="A10" t="s">
        <v>719</v>
      </c>
      <c r="B10" t="s">
        <v>720</v>
      </c>
      <c r="C10" t="s">
        <v>721</v>
      </c>
      <c r="E10" t="s">
        <v>32</v>
      </c>
      <c r="F10" t="s">
        <v>33</v>
      </c>
      <c r="G10" t="s">
        <v>49</v>
      </c>
      <c r="H10" t="s">
        <v>678</v>
      </c>
      <c r="I10" t="s">
        <v>691</v>
      </c>
      <c r="J10" t="s">
        <v>52</v>
      </c>
      <c r="L10" t="s">
        <v>53</v>
      </c>
      <c r="M10" t="s">
        <v>708</v>
      </c>
      <c r="N10" t="s">
        <v>55</v>
      </c>
      <c r="O10" s="1">
        <v>45173</v>
      </c>
      <c r="P10" t="str">
        <f ca="1" t="shared" si="0"/>
        <v>2年6月27天</v>
      </c>
      <c r="Q10" s="1">
        <v>45191</v>
      </c>
      <c r="R10" t="str">
        <f ca="1" t="shared" si="1"/>
        <v>2年6月9天</v>
      </c>
      <c r="S10" t="s">
        <v>42</v>
      </c>
      <c r="T10">
        <v>4960</v>
      </c>
      <c r="U10">
        <v>1720</v>
      </c>
      <c r="V10">
        <v>8825</v>
      </c>
      <c r="W10" t="s">
        <v>722</v>
      </c>
      <c r="X10">
        <v>0</v>
      </c>
      <c r="Y10">
        <v>0</v>
      </c>
      <c r="AB10" t="s">
        <v>57</v>
      </c>
    </row>
    <row r="11" spans="1:28">
      <c r="A11" s="3" t="s">
        <v>723</v>
      </c>
      <c r="B11" t="s">
        <v>724</v>
      </c>
      <c r="C11" t="s">
        <v>725</v>
      </c>
      <c r="F11" t="s">
        <v>33</v>
      </c>
      <c r="G11" t="s">
        <v>49</v>
      </c>
      <c r="H11" t="s">
        <v>678</v>
      </c>
      <c r="I11" t="s">
        <v>726</v>
      </c>
      <c r="J11" t="s">
        <v>52</v>
      </c>
      <c r="L11" t="s">
        <v>53</v>
      </c>
      <c r="M11" t="s">
        <v>681</v>
      </c>
      <c r="N11" t="s">
        <v>55</v>
      </c>
      <c r="O11" s="1">
        <v>45254</v>
      </c>
      <c r="P11" t="str">
        <f ca="1" t="shared" si="0"/>
        <v>2年4月7天</v>
      </c>
      <c r="Q11" s="1">
        <v>45275</v>
      </c>
      <c r="R11" t="str">
        <f ca="1" t="shared" si="1"/>
        <v>2年3月16天</v>
      </c>
      <c r="S11" t="s">
        <v>71</v>
      </c>
      <c r="T11">
        <v>0</v>
      </c>
      <c r="U11">
        <v>588</v>
      </c>
      <c r="V11">
        <v>1176</v>
      </c>
      <c r="W11" t="s">
        <v>727</v>
      </c>
      <c r="X11">
        <v>0</v>
      </c>
      <c r="Y11">
        <v>0</v>
      </c>
      <c r="Z11">
        <v>730</v>
      </c>
      <c r="AB11" t="s">
        <v>240</v>
      </c>
    </row>
    <row r="12" spans="1:28">
      <c r="A12" t="s">
        <v>728</v>
      </c>
      <c r="B12" t="s">
        <v>729</v>
      </c>
      <c r="C12" t="s">
        <v>730</v>
      </c>
      <c r="F12" t="s">
        <v>33</v>
      </c>
      <c r="G12" t="s">
        <v>49</v>
      </c>
      <c r="H12" t="s">
        <v>678</v>
      </c>
      <c r="I12" t="s">
        <v>731</v>
      </c>
      <c r="J12" t="s">
        <v>52</v>
      </c>
      <c r="L12" t="s">
        <v>53</v>
      </c>
      <c r="M12" t="s">
        <v>681</v>
      </c>
      <c r="N12" t="s">
        <v>55</v>
      </c>
      <c r="O12" s="1">
        <v>45328</v>
      </c>
      <c r="P12" t="str">
        <f ca="1" t="shared" si="0"/>
        <v>2年1月25天</v>
      </c>
      <c r="Q12" s="1">
        <v>45345</v>
      </c>
      <c r="R12" t="str">
        <f ca="1" t="shared" si="1"/>
        <v>2年1月8天</v>
      </c>
      <c r="S12" t="s">
        <v>42</v>
      </c>
      <c r="T12">
        <v>2103</v>
      </c>
      <c r="V12">
        <v>6164</v>
      </c>
      <c r="W12" t="s">
        <v>732</v>
      </c>
      <c r="X12">
        <v>0</v>
      </c>
      <c r="Y12">
        <v>0</v>
      </c>
      <c r="Z12">
        <v>2998.26</v>
      </c>
      <c r="AB12" t="s">
        <v>240</v>
      </c>
    </row>
    <row r="13" spans="1:28">
      <c r="A13" t="s">
        <v>733</v>
      </c>
      <c r="B13" t="s">
        <v>734</v>
      </c>
      <c r="C13" t="s">
        <v>735</v>
      </c>
      <c r="F13" t="s">
        <v>33</v>
      </c>
      <c r="G13" t="s">
        <v>49</v>
      </c>
      <c r="H13" t="s">
        <v>678</v>
      </c>
      <c r="I13" t="s">
        <v>736</v>
      </c>
      <c r="J13" t="s">
        <v>37</v>
      </c>
      <c r="L13" t="s">
        <v>53</v>
      </c>
      <c r="M13" t="s">
        <v>681</v>
      </c>
      <c r="N13" t="s">
        <v>312</v>
      </c>
      <c r="O13" s="1">
        <v>45412</v>
      </c>
      <c r="P13" t="str">
        <f ca="1" t="shared" si="0"/>
        <v>1年11月1天</v>
      </c>
      <c r="Q13" s="1">
        <v>45439</v>
      </c>
      <c r="R13" t="str">
        <f ca="1" t="shared" si="1"/>
        <v>1年10月4天</v>
      </c>
      <c r="S13" t="s">
        <v>71</v>
      </c>
      <c r="T13">
        <v>1000</v>
      </c>
      <c r="U13">
        <v>0</v>
      </c>
      <c r="V13">
        <v>1000</v>
      </c>
      <c r="W13" t="s">
        <v>737</v>
      </c>
      <c r="Z13">
        <v>995.5</v>
      </c>
      <c r="AB13" t="s">
        <v>240</v>
      </c>
    </row>
    <row r="14" spans="1:28">
      <c r="A14" t="s">
        <v>382</v>
      </c>
      <c r="B14" t="s">
        <v>738</v>
      </c>
      <c r="C14" t="s">
        <v>739</v>
      </c>
      <c r="F14" t="s">
        <v>33</v>
      </c>
      <c r="G14" t="s">
        <v>49</v>
      </c>
      <c r="H14" t="s">
        <v>678</v>
      </c>
      <c r="I14" t="s">
        <v>740</v>
      </c>
      <c r="J14" t="s">
        <v>52</v>
      </c>
      <c r="L14" t="s">
        <v>53</v>
      </c>
      <c r="M14" t="s">
        <v>708</v>
      </c>
      <c r="N14" t="s">
        <v>78</v>
      </c>
      <c r="O14" s="1">
        <v>45576</v>
      </c>
      <c r="P14" t="str">
        <f ca="1" t="shared" si="0"/>
        <v>1年5月20天</v>
      </c>
      <c r="Q14" s="1">
        <v>45590</v>
      </c>
      <c r="R14" t="str">
        <f ca="1" t="shared" si="1"/>
        <v>1年5月6天</v>
      </c>
      <c r="S14" t="s">
        <v>71</v>
      </c>
      <c r="T14">
        <v>0</v>
      </c>
      <c r="U14">
        <v>0</v>
      </c>
      <c r="V14">
        <v>0</v>
      </c>
      <c r="W14" t="s">
        <v>741</v>
      </c>
      <c r="X14">
        <v>0</v>
      </c>
      <c r="Y14">
        <v>0</v>
      </c>
      <c r="AB14" t="s">
        <v>44</v>
      </c>
    </row>
    <row r="15" spans="1:28">
      <c r="A15" t="s">
        <v>742</v>
      </c>
      <c r="B15" t="s">
        <v>743</v>
      </c>
      <c r="C15" t="s">
        <v>744</v>
      </c>
      <c r="D15" t="s">
        <v>745</v>
      </c>
      <c r="F15" t="s">
        <v>135</v>
      </c>
      <c r="G15" t="s">
        <v>49</v>
      </c>
      <c r="H15" t="s">
        <v>678</v>
      </c>
      <c r="I15" t="s">
        <v>691</v>
      </c>
      <c r="J15" t="s">
        <v>52</v>
      </c>
      <c r="L15" t="s">
        <v>188</v>
      </c>
      <c r="M15" t="s">
        <v>746</v>
      </c>
      <c r="O15" s="1">
        <v>45581</v>
      </c>
      <c r="P15" t="str">
        <f ca="1" t="shared" si="0"/>
        <v>1年5月15天</v>
      </c>
      <c r="Q15" s="1">
        <v>45597</v>
      </c>
      <c r="R15" t="str">
        <f ca="1" t="shared" si="1"/>
        <v>1年4月30天</v>
      </c>
      <c r="S15" t="s">
        <v>42</v>
      </c>
      <c r="T15">
        <v>3000</v>
      </c>
      <c r="U15">
        <v>2300</v>
      </c>
      <c r="V15">
        <v>5300</v>
      </c>
      <c r="W15" t="s">
        <v>747</v>
      </c>
      <c r="X15">
        <v>0</v>
      </c>
      <c r="Y15">
        <v>0</v>
      </c>
      <c r="Z15">
        <v>7191.99</v>
      </c>
      <c r="AB15" t="s">
        <v>240</v>
      </c>
    </row>
    <row r="16" spans="1:28">
      <c r="A16" s="3" t="s">
        <v>748</v>
      </c>
      <c r="B16" t="s">
        <v>749</v>
      </c>
      <c r="C16" t="s">
        <v>750</v>
      </c>
      <c r="F16" t="s">
        <v>33</v>
      </c>
      <c r="G16" t="s">
        <v>49</v>
      </c>
      <c r="H16" t="s">
        <v>678</v>
      </c>
      <c r="I16" t="s">
        <v>740</v>
      </c>
      <c r="J16" t="s">
        <v>37</v>
      </c>
      <c r="L16" t="s">
        <v>188</v>
      </c>
      <c r="M16" t="s">
        <v>751</v>
      </c>
      <c r="O16" s="1">
        <v>45583</v>
      </c>
      <c r="P16" t="str">
        <f ca="1" t="shared" si="0"/>
        <v>1年5月13天</v>
      </c>
      <c r="Q16" s="1">
        <v>45597</v>
      </c>
      <c r="R16" t="str">
        <f ca="1" t="shared" si="1"/>
        <v>1年4月30天</v>
      </c>
      <c r="S16" t="s">
        <v>42</v>
      </c>
      <c r="T16">
        <v>0</v>
      </c>
      <c r="U16">
        <v>1125</v>
      </c>
      <c r="V16">
        <v>1125</v>
      </c>
      <c r="W16" t="s">
        <v>752</v>
      </c>
      <c r="X16">
        <v>2</v>
      </c>
      <c r="Y16">
        <v>0</v>
      </c>
      <c r="Z16">
        <v>18306.63</v>
      </c>
      <c r="AB16" t="s">
        <v>240</v>
      </c>
    </row>
    <row r="17" spans="1:28">
      <c r="A17" t="s">
        <v>753</v>
      </c>
      <c r="B17" t="s">
        <v>754</v>
      </c>
      <c r="C17" t="s">
        <v>755</v>
      </c>
      <c r="F17" t="s">
        <v>76</v>
      </c>
      <c r="G17" t="s">
        <v>49</v>
      </c>
      <c r="H17" t="s">
        <v>678</v>
      </c>
      <c r="I17" t="s">
        <v>756</v>
      </c>
      <c r="J17" t="s">
        <v>108</v>
      </c>
      <c r="K17" t="s">
        <v>38</v>
      </c>
      <c r="L17" t="s">
        <v>53</v>
      </c>
      <c r="M17" t="s">
        <v>681</v>
      </c>
      <c r="N17" t="s">
        <v>757</v>
      </c>
      <c r="O17" s="1">
        <v>45736</v>
      </c>
      <c r="P17" t="str">
        <f ca="1" t="shared" si="0"/>
        <v>1年11天</v>
      </c>
      <c r="R17" t="str">
        <f ca="1" t="shared" si="1"/>
        <v/>
      </c>
      <c r="S17" t="s">
        <v>42</v>
      </c>
      <c r="T17">
        <v>5270</v>
      </c>
      <c r="U17">
        <v>0</v>
      </c>
      <c r="V17">
        <v>5270</v>
      </c>
      <c r="W17" t="s">
        <v>758</v>
      </c>
      <c r="X17">
        <v>0</v>
      </c>
      <c r="Y17">
        <v>0</v>
      </c>
      <c r="Z17">
        <v>29257.25</v>
      </c>
      <c r="AB17" t="s">
        <v>88</v>
      </c>
    </row>
    <row r="18" s="4" customFormat="1" spans="1:28">
      <c r="A18" s="4" t="s">
        <v>759</v>
      </c>
      <c r="B18" s="4" t="s">
        <v>760</v>
      </c>
      <c r="C18" s="4" t="s">
        <v>761</v>
      </c>
      <c r="F18" s="4" t="s">
        <v>33</v>
      </c>
      <c r="G18" s="4" t="s">
        <v>762</v>
      </c>
      <c r="H18" s="4" t="s">
        <v>678</v>
      </c>
      <c r="I18" s="4" t="s">
        <v>763</v>
      </c>
      <c r="J18" s="4" t="s">
        <v>108</v>
      </c>
      <c r="K18" s="4" t="s">
        <v>764</v>
      </c>
      <c r="L18" s="4" t="s">
        <v>764</v>
      </c>
      <c r="M18" s="4" t="s">
        <v>765</v>
      </c>
      <c r="N18" s="4" t="s">
        <v>766</v>
      </c>
      <c r="O18" s="5">
        <v>45763</v>
      </c>
      <c r="P18" s="4" t="str">
        <f ca="1" t="shared" si="0"/>
        <v>11月15天</v>
      </c>
      <c r="R18" s="4" t="str">
        <f ca="1" t="shared" si="1"/>
        <v/>
      </c>
      <c r="S18" s="4" t="s">
        <v>111</v>
      </c>
      <c r="T18" s="4">
        <v>0</v>
      </c>
      <c r="U18" s="4">
        <v>0</v>
      </c>
      <c r="V18" s="4">
        <v>0</v>
      </c>
      <c r="W18" s="4" t="s">
        <v>767</v>
      </c>
      <c r="X18" s="4">
        <v>0</v>
      </c>
      <c r="Y18" s="4">
        <v>0</v>
      </c>
      <c r="AB18" s="4" t="s">
        <v>96</v>
      </c>
    </row>
    <row r="19" spans="1:28">
      <c r="A19" t="s">
        <v>768</v>
      </c>
      <c r="B19" t="s">
        <v>769</v>
      </c>
      <c r="C19" t="s">
        <v>770</v>
      </c>
      <c r="F19" t="s">
        <v>76</v>
      </c>
      <c r="G19" t="s">
        <v>49</v>
      </c>
      <c r="H19" t="s">
        <v>678</v>
      </c>
      <c r="I19" t="s">
        <v>736</v>
      </c>
      <c r="J19" t="s">
        <v>108</v>
      </c>
      <c r="L19" t="s">
        <v>771</v>
      </c>
      <c r="M19" t="s">
        <v>772</v>
      </c>
      <c r="N19" t="s">
        <v>651</v>
      </c>
      <c r="O19" s="1">
        <v>45912</v>
      </c>
      <c r="P19" t="str">
        <f ca="1" t="shared" si="0"/>
        <v>6月19天</v>
      </c>
      <c r="R19" t="str">
        <f ca="1" t="shared" si="1"/>
        <v/>
      </c>
      <c r="S19" t="s">
        <v>111</v>
      </c>
      <c r="T19">
        <v>0</v>
      </c>
      <c r="U19">
        <v>0</v>
      </c>
      <c r="V19">
        <v>0</v>
      </c>
      <c r="W19" t="s">
        <v>773</v>
      </c>
      <c r="X19" t="s">
        <v>176</v>
      </c>
      <c r="Z19">
        <v>19624.51</v>
      </c>
      <c r="AB19" t="s">
        <v>96</v>
      </c>
    </row>
    <row r="20" spans="1:28">
      <c r="A20" t="s">
        <v>774</v>
      </c>
      <c r="B20" t="s">
        <v>775</v>
      </c>
      <c r="C20" t="s">
        <v>776</v>
      </c>
      <c r="F20" t="s">
        <v>33</v>
      </c>
      <c r="G20" t="s">
        <v>49</v>
      </c>
      <c r="H20" t="s">
        <v>678</v>
      </c>
      <c r="I20" t="s">
        <v>740</v>
      </c>
      <c r="J20" t="s">
        <v>108</v>
      </c>
      <c r="L20" t="s">
        <v>777</v>
      </c>
      <c r="M20" t="s">
        <v>772</v>
      </c>
      <c r="N20" t="s">
        <v>110</v>
      </c>
      <c r="O20" s="1">
        <v>45947</v>
      </c>
      <c r="P20" t="str">
        <f ca="1" t="shared" si="0"/>
        <v>5月14天</v>
      </c>
      <c r="R20" t="str">
        <f ca="1" t="shared" si="1"/>
        <v/>
      </c>
      <c r="S20" t="s">
        <v>111</v>
      </c>
      <c r="T20">
        <v>0</v>
      </c>
      <c r="U20">
        <v>0</v>
      </c>
      <c r="V20">
        <v>0</v>
      </c>
      <c r="W20" t="s">
        <v>778</v>
      </c>
      <c r="X20" t="s">
        <v>176</v>
      </c>
      <c r="Z20">
        <v>9119.3</v>
      </c>
      <c r="AB20" t="s">
        <v>96</v>
      </c>
    </row>
    <row r="21" spans="1:28">
      <c r="A21" t="s">
        <v>779</v>
      </c>
      <c r="B21" t="s">
        <v>780</v>
      </c>
      <c r="C21" t="s">
        <v>781</v>
      </c>
      <c r="F21" t="s">
        <v>33</v>
      </c>
      <c r="G21" t="s">
        <v>49</v>
      </c>
      <c r="H21" t="s">
        <v>678</v>
      </c>
      <c r="J21" t="s">
        <v>108</v>
      </c>
      <c r="L21" t="s">
        <v>771</v>
      </c>
      <c r="M21" t="s">
        <v>772</v>
      </c>
      <c r="N21" t="s">
        <v>782</v>
      </c>
      <c r="O21" s="1">
        <v>45980</v>
      </c>
      <c r="P21" t="str">
        <f ca="1" t="shared" si="0"/>
        <v>4月12天</v>
      </c>
      <c r="R21" t="str">
        <f ca="1" t="shared" si="1"/>
        <v/>
      </c>
      <c r="S21" t="s">
        <v>111</v>
      </c>
      <c r="T21">
        <v>0</v>
      </c>
      <c r="U21">
        <v>0</v>
      </c>
      <c r="V21">
        <v>0</v>
      </c>
      <c r="W21" t="s">
        <v>783</v>
      </c>
      <c r="X21">
        <v>0</v>
      </c>
      <c r="Y21">
        <v>0</v>
      </c>
      <c r="Z21">
        <v>11930.66</v>
      </c>
      <c r="AB21" t="s">
        <v>96</v>
      </c>
    </row>
    <row r="22" spans="1:28">
      <c r="A22" t="s">
        <v>784</v>
      </c>
      <c r="B22" t="s">
        <v>785</v>
      </c>
      <c r="C22" t="s">
        <v>786</v>
      </c>
      <c r="F22" t="s">
        <v>33</v>
      </c>
      <c r="G22" t="s">
        <v>49</v>
      </c>
      <c r="H22" t="s">
        <v>678</v>
      </c>
      <c r="I22" t="s">
        <v>731</v>
      </c>
      <c r="J22" t="s">
        <v>37</v>
      </c>
      <c r="L22" t="s">
        <v>53</v>
      </c>
      <c r="M22" t="s">
        <v>681</v>
      </c>
      <c r="P22" t="str">
        <f ca="1" t="shared" si="0"/>
        <v/>
      </c>
      <c r="Q22" s="1">
        <v>44435</v>
      </c>
      <c r="R22" t="str">
        <f ca="1" t="shared" si="1"/>
        <v>4年7月4天</v>
      </c>
      <c r="S22" t="s">
        <v>42</v>
      </c>
      <c r="T22">
        <v>0</v>
      </c>
      <c r="U22">
        <v>0</v>
      </c>
      <c r="V22">
        <v>24125</v>
      </c>
      <c r="W22" t="s">
        <v>787</v>
      </c>
      <c r="X22">
        <v>0</v>
      </c>
      <c r="Y22">
        <v>0</v>
      </c>
      <c r="AB22" t="s">
        <v>96</v>
      </c>
    </row>
    <row r="23" spans="1:28">
      <c r="A23" t="s">
        <v>788</v>
      </c>
      <c r="B23" t="s">
        <v>789</v>
      </c>
      <c r="C23" t="s">
        <v>790</v>
      </c>
      <c r="F23" t="s">
        <v>33</v>
      </c>
      <c r="G23" t="s">
        <v>49</v>
      </c>
      <c r="H23" t="s">
        <v>678</v>
      </c>
      <c r="I23" t="s">
        <v>740</v>
      </c>
      <c r="J23" t="s">
        <v>52</v>
      </c>
      <c r="L23" t="s">
        <v>771</v>
      </c>
      <c r="M23" t="s">
        <v>772</v>
      </c>
      <c r="N23" t="s">
        <v>358</v>
      </c>
      <c r="O23" s="1">
        <v>45995</v>
      </c>
      <c r="P23" t="str">
        <f ca="1" t="shared" si="0"/>
        <v>3月27天</v>
      </c>
      <c r="R23" t="str">
        <f ca="1" t="shared" si="1"/>
        <v/>
      </c>
      <c r="S23" t="s">
        <v>111</v>
      </c>
      <c r="T23">
        <v>0</v>
      </c>
      <c r="U23">
        <v>0</v>
      </c>
      <c r="V23">
        <v>0</v>
      </c>
      <c r="W23" t="s">
        <v>791</v>
      </c>
      <c r="X23">
        <v>0</v>
      </c>
      <c r="Y23">
        <v>0</v>
      </c>
      <c r="Z23">
        <v>4404.03</v>
      </c>
      <c r="AB23" t="s">
        <v>96</v>
      </c>
    </row>
    <row r="24" spans="1:28">
      <c r="A24" t="s">
        <v>792</v>
      </c>
      <c r="B24" t="s">
        <v>793</v>
      </c>
      <c r="C24" t="s">
        <v>794</v>
      </c>
      <c r="F24" t="s">
        <v>33</v>
      </c>
      <c r="G24" t="s">
        <v>49</v>
      </c>
      <c r="H24" t="s">
        <v>678</v>
      </c>
      <c r="I24" t="s">
        <v>740</v>
      </c>
      <c r="J24" t="s">
        <v>108</v>
      </c>
      <c r="L24" t="s">
        <v>136</v>
      </c>
      <c r="M24" t="s">
        <v>795</v>
      </c>
      <c r="N24" t="s">
        <v>110</v>
      </c>
      <c r="O24" s="1">
        <v>46013</v>
      </c>
      <c r="P24" t="str">
        <f ca="1" t="shared" si="0"/>
        <v>3月9天</v>
      </c>
      <c r="R24" t="str">
        <f ca="1" t="shared" si="1"/>
        <v/>
      </c>
      <c r="S24" t="s">
        <v>111</v>
      </c>
      <c r="T24">
        <v>0</v>
      </c>
      <c r="U24">
        <v>0</v>
      </c>
      <c r="V24">
        <v>0</v>
      </c>
      <c r="W24" t="s">
        <v>796</v>
      </c>
      <c r="X24">
        <v>0</v>
      </c>
      <c r="Y24">
        <v>0</v>
      </c>
      <c r="Z24">
        <v>9491.28</v>
      </c>
      <c r="AB24" t="s">
        <v>96</v>
      </c>
    </row>
    <row r="25" spans="1:28">
      <c r="A25" t="s">
        <v>797</v>
      </c>
      <c r="B25" t="s">
        <v>798</v>
      </c>
      <c r="C25" t="s">
        <v>799</v>
      </c>
      <c r="F25" t="s">
        <v>33</v>
      </c>
      <c r="G25" t="s">
        <v>49</v>
      </c>
      <c r="H25" t="s">
        <v>678</v>
      </c>
      <c r="I25" t="s">
        <v>702</v>
      </c>
      <c r="J25" t="s">
        <v>52</v>
      </c>
      <c r="L25" t="s">
        <v>800</v>
      </c>
      <c r="M25" t="s">
        <v>801</v>
      </c>
      <c r="N25" t="s">
        <v>358</v>
      </c>
      <c r="O25" s="1">
        <v>46021</v>
      </c>
      <c r="P25" t="str">
        <f ca="1" t="shared" si="0"/>
        <v>3月1天</v>
      </c>
      <c r="R25" t="str">
        <f ca="1" t="shared" si="1"/>
        <v/>
      </c>
      <c r="S25" t="s">
        <v>111</v>
      </c>
      <c r="T25">
        <v>0</v>
      </c>
      <c r="U25">
        <v>0</v>
      </c>
      <c r="V25">
        <v>0</v>
      </c>
      <c r="W25" t="s">
        <v>802</v>
      </c>
      <c r="X25">
        <v>0</v>
      </c>
      <c r="Y25">
        <v>0</v>
      </c>
      <c r="Z25">
        <v>5733.48</v>
      </c>
      <c r="AB25" t="s">
        <v>96</v>
      </c>
    </row>
    <row r="26" spans="1:28">
      <c r="A26" t="s">
        <v>803</v>
      </c>
      <c r="B26" t="s">
        <v>804</v>
      </c>
      <c r="C26" t="s">
        <v>805</v>
      </c>
      <c r="F26" t="s">
        <v>33</v>
      </c>
      <c r="G26" t="s">
        <v>49</v>
      </c>
      <c r="H26" t="s">
        <v>678</v>
      </c>
      <c r="I26" t="s">
        <v>740</v>
      </c>
      <c r="J26" t="s">
        <v>108</v>
      </c>
      <c r="L26" t="s">
        <v>136</v>
      </c>
      <c r="M26" t="s">
        <v>795</v>
      </c>
      <c r="O26" s="1">
        <v>46026</v>
      </c>
      <c r="P26" t="str">
        <f ca="1" t="shared" si="0"/>
        <v>2月27天</v>
      </c>
      <c r="R26" t="str">
        <f ca="1" t="shared" si="1"/>
        <v/>
      </c>
      <c r="S26" t="s">
        <v>111</v>
      </c>
      <c r="T26">
        <v>0</v>
      </c>
      <c r="U26">
        <v>0</v>
      </c>
      <c r="V26">
        <v>0</v>
      </c>
      <c r="W26" t="s">
        <v>806</v>
      </c>
      <c r="X26">
        <v>0</v>
      </c>
      <c r="Y26">
        <v>0</v>
      </c>
      <c r="Z26">
        <v>15462.42</v>
      </c>
      <c r="AB26"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
  <sheetViews>
    <sheetView workbookViewId="0">
      <selection activeCell="A1" sqref="A1"/>
    </sheetView>
  </sheetViews>
  <sheetFormatPr defaultColWidth="9" defaultRowHeight="13.5" outlineLevelRow="1"/>
  <sheetData>
    <row r="1" spans="1:28">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807</v>
      </c>
      <c r="B2" t="s">
        <v>808</v>
      </c>
      <c r="C2" t="s">
        <v>809</v>
      </c>
      <c r="E2" t="s">
        <v>32</v>
      </c>
      <c r="F2" t="s">
        <v>33</v>
      </c>
      <c r="G2" t="s">
        <v>49</v>
      </c>
      <c r="H2" t="s">
        <v>810</v>
      </c>
      <c r="I2" t="s">
        <v>811</v>
      </c>
      <c r="J2" t="s">
        <v>37</v>
      </c>
      <c r="L2" t="s">
        <v>188</v>
      </c>
      <c r="M2" t="s">
        <v>189</v>
      </c>
      <c r="N2" t="s">
        <v>41</v>
      </c>
      <c r="O2" s="1">
        <v>44956</v>
      </c>
      <c r="P2" t="str">
        <f ca="1">IF(O2="","",IF(DATEDIF(O2,NOW(),"Y")&gt;0,DATEDIF(O2,NOW(),"Y")&amp;"年","")&amp;IF(DATEDIF(O2,NOW(),"YM")&gt;0,DATEDIF(O2,NOW(),"YM")&amp;"月","")&amp;DATEDIF(O2,NOW(),"MD")&amp;"天")</f>
        <v>3年2月1天</v>
      </c>
      <c r="Q2" s="1">
        <v>45019</v>
      </c>
      <c r="R2" t="str">
        <f ca="1">IF(Q2="","",IF(DATEDIF(Q2,NOW(),"Y")&gt;0,DATEDIF(Q2,NOW(),"Y")&amp;"年","")&amp;IF(DATEDIF(Q2,NOW(),"YM")&gt;0,DATEDIF(Q2,NOW(),"YM")&amp;"月","")&amp;DATEDIF(Q2,NOW(),"MD")&amp;"天")</f>
        <v>2年11月28天</v>
      </c>
      <c r="S2" t="s">
        <v>71</v>
      </c>
      <c r="T2">
        <v>20000</v>
      </c>
      <c r="U2">
        <v>0</v>
      </c>
      <c r="V2">
        <v>20585</v>
      </c>
      <c r="W2" t="s">
        <v>812</v>
      </c>
      <c r="X2">
        <v>0</v>
      </c>
      <c r="Y2">
        <v>0</v>
      </c>
      <c r="Z2">
        <v>1995.68</v>
      </c>
      <c r="AB2"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
  <sheetViews>
    <sheetView workbookViewId="0">
      <selection activeCell="A1" sqref="A1"/>
    </sheetView>
  </sheetViews>
  <sheetFormatPr defaultColWidth="9" defaultRowHeight="13.5" outlineLevelRow="1"/>
  <sheetData>
    <row r="1" spans="1:28">
      <c r="A1" t="s">
        <v>0</v>
      </c>
      <c r="B1" t="s">
        <v>1</v>
      </c>
      <c r="C1" t="s">
        <v>2</v>
      </c>
      <c r="D1" t="s">
        <v>4</v>
      </c>
      <c r="E1" t="s">
        <v>3</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813</v>
      </c>
      <c r="B2" t="s">
        <v>814</v>
      </c>
      <c r="C2" t="s">
        <v>815</v>
      </c>
      <c r="D2" t="s">
        <v>816</v>
      </c>
      <c r="F2" t="s">
        <v>33</v>
      </c>
      <c r="G2" t="s">
        <v>34</v>
      </c>
      <c r="H2" t="s">
        <v>817</v>
      </c>
      <c r="I2" t="s">
        <v>817</v>
      </c>
      <c r="J2" t="s">
        <v>37</v>
      </c>
      <c r="L2" t="s">
        <v>39</v>
      </c>
      <c r="M2" t="s">
        <v>142</v>
      </c>
      <c r="N2" t="s">
        <v>130</v>
      </c>
      <c r="O2" s="1">
        <v>45030</v>
      </c>
      <c r="P2" t="str">
        <f ca="1">IF(O2="","",IF(DATEDIF(O2,NOW(),"Y")&gt;0,DATEDIF(O2,NOW(),"Y")&amp;"年","")&amp;IF(DATEDIF(O2,NOW(),"YM")&gt;0,DATEDIF(O2,NOW(),"YM")&amp;"月","")&amp;DATEDIF(O2,NOW(),"MD")&amp;"天")</f>
        <v>2年11月17天</v>
      </c>
      <c r="Q2" s="1">
        <v>45058</v>
      </c>
      <c r="R2" t="str">
        <f ca="1">IF(Q2="","",IF(DATEDIF(Q2,NOW(),"Y")&gt;0,DATEDIF(Q2,NOW(),"Y")&amp;"年","")&amp;IF(DATEDIF(Q2,NOW(),"YM")&gt;0,DATEDIF(Q2,NOW(),"YM")&amp;"月","")&amp;DATEDIF(Q2,NOW(),"MD")&amp;"天")</f>
        <v>2年10月19天</v>
      </c>
      <c r="S2" t="s">
        <v>42</v>
      </c>
      <c r="T2">
        <v>29500</v>
      </c>
      <c r="U2">
        <v>0</v>
      </c>
      <c r="V2">
        <v>29500</v>
      </c>
      <c r="W2" t="s">
        <v>818</v>
      </c>
      <c r="X2">
        <v>0</v>
      </c>
      <c r="Y2">
        <v>0</v>
      </c>
      <c r="Z2">
        <v>7264.47</v>
      </c>
      <c r="AB2"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
  <sheetViews>
    <sheetView workbookViewId="0">
      <selection activeCell="K4" sqref="K4"/>
    </sheetView>
  </sheetViews>
  <sheetFormatPr defaultColWidth="9" defaultRowHeight="13.5"/>
  <cols>
    <col min="1" max="1" width="35.1416666666667" customWidth="1"/>
    <col min="2" max="2" width="23.5" customWidth="1"/>
    <col min="11" max="12" width="13.5" customWidth="1"/>
    <col min="13" max="13" width="13" customWidth="1"/>
  </cols>
  <sheetData>
    <row r="1" spans="1:18">
      <c r="A1" t="s">
        <v>0</v>
      </c>
      <c r="B1" t="s">
        <v>819</v>
      </c>
      <c r="C1" t="s">
        <v>3</v>
      </c>
      <c r="D1" t="s">
        <v>820</v>
      </c>
      <c r="E1" t="s">
        <v>821</v>
      </c>
      <c r="F1" t="s">
        <v>12</v>
      </c>
      <c r="G1" t="s">
        <v>822</v>
      </c>
      <c r="H1" t="s">
        <v>823</v>
      </c>
      <c r="I1" t="s">
        <v>19</v>
      </c>
      <c r="J1" t="s">
        <v>20</v>
      </c>
      <c r="K1" s="3" t="s">
        <v>824</v>
      </c>
      <c r="L1" t="s">
        <v>21</v>
      </c>
      <c r="M1" s="3" t="s">
        <v>25</v>
      </c>
    </row>
    <row r="2" spans="1:18">
      <c r="A2" t="s">
        <v>825</v>
      </c>
      <c r="B2" t="s">
        <v>826</v>
      </c>
      <c r="C2" t="s">
        <v>32</v>
      </c>
      <c r="D2" t="s">
        <v>827</v>
      </c>
      <c r="E2" t="s">
        <v>828</v>
      </c>
      <c r="F2" t="s">
        <v>54</v>
      </c>
      <c r="G2" t="s">
        <v>342</v>
      </c>
      <c r="H2" t="s">
        <v>829</v>
      </c>
      <c r="I2">
        <v>234300</v>
      </c>
      <c r="J2">
        <v>59700</v>
      </c>
      <c r="K2">
        <v>318000</v>
      </c>
      <c r="L2">
        <v>1175350</v>
      </c>
      <c r="M2">
        <v>1137054</v>
      </c>
      <c r="P2" t="str">
        <f ca="1" t="shared" ref="P2:P9" si="0">IF(O2="","",IF(DATEDIF(O2,NOW(),"Y")&gt;0,DATEDIF(O2,NOW(),"Y")&amp;"年","")&amp;IF(DATEDIF(O2,NOW(),"YM")&gt;0,DATEDIF(O2,NOW(),"YM")&amp;"月","")&amp;DATEDIF(O2,NOW(),"MD")&amp;"天")</f>
        <v/>
      </c>
      <c r="R2" t="str">
        <f ca="1" t="shared" ref="R2:R9" si="1">IF(Q2="","",IF(DATEDIF(Q2,NOW(),"Y")&gt;0,DATEDIF(Q2,NOW(),"Y")&amp;"年","")&amp;IF(DATEDIF(Q2,NOW(),"YM")&gt;0,DATEDIF(Q2,NOW(),"YM")&amp;"月","")&amp;DATEDIF(Q2,NOW(),"MD")&amp;"天")</f>
        <v/>
      </c>
    </row>
    <row r="3" spans="1:18">
      <c r="A3" t="s">
        <v>830</v>
      </c>
      <c r="B3" t="s">
        <v>831</v>
      </c>
      <c r="C3" t="s">
        <v>32</v>
      </c>
      <c r="D3" t="s">
        <v>827</v>
      </c>
      <c r="E3" t="s">
        <v>828</v>
      </c>
      <c r="F3" t="s">
        <v>832</v>
      </c>
      <c r="I3">
        <v>90057.6</v>
      </c>
      <c r="J3">
        <v>37842</v>
      </c>
      <c r="L3">
        <v>127899.6</v>
      </c>
      <c r="M3">
        <v>292067</v>
      </c>
      <c r="P3" t="str">
        <f ca="1" t="shared" si="0"/>
        <v/>
      </c>
      <c r="R3" t="str">
        <f ca="1" t="shared" si="1"/>
        <v/>
      </c>
    </row>
    <row r="4" spans="1:18">
      <c r="A4" s="3" t="s">
        <v>833</v>
      </c>
      <c r="B4" t="s">
        <v>834</v>
      </c>
      <c r="C4" t="s">
        <v>32</v>
      </c>
      <c r="D4" t="s">
        <v>827</v>
      </c>
      <c r="E4" t="s">
        <v>828</v>
      </c>
      <c r="F4" t="s">
        <v>348</v>
      </c>
      <c r="G4" t="s">
        <v>835</v>
      </c>
      <c r="K4">
        <v>97000</v>
      </c>
      <c r="L4">
        <v>97000</v>
      </c>
      <c r="M4">
        <v>762460</v>
      </c>
      <c r="P4" t="str">
        <f ca="1" t="shared" si="0"/>
        <v/>
      </c>
      <c r="R4" t="str">
        <f ca="1" t="shared" si="1"/>
        <v/>
      </c>
    </row>
    <row r="5" spans="1:18">
      <c r="A5" t="s">
        <v>836</v>
      </c>
      <c r="B5" t="s">
        <v>837</v>
      </c>
      <c r="C5" t="s">
        <v>32</v>
      </c>
      <c r="D5" t="s">
        <v>827</v>
      </c>
      <c r="E5" t="s">
        <v>828</v>
      </c>
      <c r="F5" t="s">
        <v>54</v>
      </c>
      <c r="K5">
        <v>261000</v>
      </c>
      <c r="L5">
        <v>261000</v>
      </c>
      <c r="M5">
        <v>197676</v>
      </c>
      <c r="P5" t="str">
        <f ca="1" t="shared" si="0"/>
        <v/>
      </c>
      <c r="R5" t="str">
        <f ca="1" t="shared" si="1"/>
        <v/>
      </c>
    </row>
    <row r="6" spans="1:18">
      <c r="A6" t="s">
        <v>838</v>
      </c>
      <c r="B6" t="s">
        <v>839</v>
      </c>
      <c r="C6" t="s">
        <v>32</v>
      </c>
      <c r="D6" t="s">
        <v>840</v>
      </c>
      <c r="E6" t="s">
        <v>841</v>
      </c>
      <c r="F6" t="s">
        <v>447</v>
      </c>
      <c r="K6">
        <v>240000</v>
      </c>
      <c r="L6">
        <v>240000</v>
      </c>
      <c r="M6">
        <v>117399</v>
      </c>
      <c r="P6" t="str">
        <f ca="1" t="shared" si="0"/>
        <v/>
      </c>
      <c r="R6" t="str">
        <f ca="1" t="shared" si="1"/>
        <v/>
      </c>
    </row>
    <row r="7" spans="1:18">
      <c r="A7" t="s">
        <v>842</v>
      </c>
      <c r="B7" t="s">
        <v>843</v>
      </c>
      <c r="C7" t="s">
        <v>32</v>
      </c>
      <c r="D7" t="s">
        <v>678</v>
      </c>
      <c r="E7" t="s">
        <v>740</v>
      </c>
      <c r="F7" t="s">
        <v>681</v>
      </c>
      <c r="K7">
        <v>0</v>
      </c>
      <c r="L7">
        <v>0</v>
      </c>
      <c r="M7">
        <v>134650</v>
      </c>
      <c r="P7" t="str">
        <f ca="1" t="shared" si="0"/>
        <v/>
      </c>
      <c r="R7" t="str">
        <f ca="1" t="shared" si="1"/>
        <v/>
      </c>
    </row>
    <row r="8" spans="1:18">
      <c r="A8" t="s">
        <v>844</v>
      </c>
      <c r="B8" t="s">
        <v>845</v>
      </c>
      <c r="C8" t="s">
        <v>32</v>
      </c>
      <c r="D8" t="s">
        <v>678</v>
      </c>
      <c r="E8" t="s">
        <v>846</v>
      </c>
      <c r="F8" t="s">
        <v>681</v>
      </c>
      <c r="G8" t="s">
        <v>847</v>
      </c>
      <c r="K8">
        <v>389400</v>
      </c>
      <c r="L8">
        <v>389400</v>
      </c>
      <c r="M8">
        <v>277554</v>
      </c>
      <c r="P8" t="str">
        <f ca="1" t="shared" si="0"/>
        <v/>
      </c>
      <c r="R8" t="str">
        <f ca="1" t="shared" si="1"/>
        <v/>
      </c>
    </row>
    <row r="9" spans="1:18">
      <c r="A9" t="s">
        <v>848</v>
      </c>
      <c r="B9" t="s">
        <v>849</v>
      </c>
      <c r="C9" t="s">
        <v>32</v>
      </c>
      <c r="D9" t="s">
        <v>850</v>
      </c>
      <c r="E9" t="s">
        <v>51</v>
      </c>
      <c r="F9" t="s">
        <v>95</v>
      </c>
      <c r="K9">
        <v>354400</v>
      </c>
      <c r="L9">
        <v>354400</v>
      </c>
      <c r="M9">
        <v>833980</v>
      </c>
      <c r="P9" t="str">
        <f ca="1" t="shared" si="0"/>
        <v/>
      </c>
      <c r="R9" t="str">
        <f ca="1" t="shared" si="1"/>
        <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3"/>
  <sheetViews>
    <sheetView workbookViewId="0">
      <selection activeCell="A1" sqref="A1"/>
    </sheetView>
  </sheetViews>
  <sheetFormatPr defaultColWidth="9" defaultRowHeight="13.5"/>
  <cols>
    <col min="1" max="1" width="14" customWidth="1"/>
    <col min="15" max="15" width="21.5"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104</v>
      </c>
      <c r="B2" t="s">
        <v>105</v>
      </c>
      <c r="C2" t="s">
        <v>106</v>
      </c>
      <c r="D2" t="s">
        <v>107</v>
      </c>
      <c r="E2" t="s">
        <v>32</v>
      </c>
      <c r="F2" t="s">
        <v>33</v>
      </c>
      <c r="G2" t="s">
        <v>34</v>
      </c>
      <c r="H2" t="s">
        <v>50</v>
      </c>
      <c r="I2" t="s">
        <v>61</v>
      </c>
      <c r="J2" t="s">
        <v>108</v>
      </c>
      <c r="K2" t="s">
        <v>84</v>
      </c>
      <c r="M2" t="s">
        <v>109</v>
      </c>
      <c r="N2" t="s">
        <v>110</v>
      </c>
      <c r="O2" s="1">
        <v>46030</v>
      </c>
      <c r="P2" t="str">
        <f ca="1" t="shared" ref="P2:P13" si="0">IF(O2="","",IF(DATEDIF(O2,NOW(),"Y")&gt;0,DATEDIF(O2,NOW(),"Y")&amp;"年","")&amp;IF(DATEDIF(O2,NOW(),"YM")&gt;0,DATEDIF(O2,NOW(),"YM")&amp;"月","")&amp;DATEDIF(O2,NOW(),"MD")&amp;"天")</f>
        <v>2月23天</v>
      </c>
      <c r="R2" t="str">
        <f ca="1" t="shared" ref="R2:R13" si="1">IF(Q2="","",IF(DATEDIF(Q2,NOW(),"Y")&gt;0,DATEDIF(Q2,NOW(),"Y")&amp;"年","")&amp;IF(DATEDIF(Q2,NOW(),"YM")&gt;0,DATEDIF(Q2,NOW(),"YM")&amp;"月","")&amp;DATEDIF(Q2,NOW(),"MD")&amp;"天")</f>
        <v/>
      </c>
      <c r="S2" t="s">
        <v>111</v>
      </c>
      <c r="T2">
        <v>0</v>
      </c>
      <c r="U2">
        <v>0</v>
      </c>
      <c r="V2">
        <v>0</v>
      </c>
      <c r="W2" t="s">
        <v>112</v>
      </c>
      <c r="X2">
        <v>0</v>
      </c>
      <c r="Y2">
        <v>0</v>
      </c>
      <c r="Z2">
        <v>9811.58</v>
      </c>
      <c r="AB2" t="s">
        <v>96</v>
      </c>
    </row>
    <row r="3" spans="1:29">
      <c r="A3" t="s">
        <v>221</v>
      </c>
      <c r="B3" t="s">
        <v>222</v>
      </c>
      <c r="C3" t="s">
        <v>223</v>
      </c>
      <c r="F3" t="s">
        <v>33</v>
      </c>
      <c r="G3" t="s">
        <v>194</v>
      </c>
      <c r="H3" t="s">
        <v>186</v>
      </c>
      <c r="I3" t="s">
        <v>217</v>
      </c>
      <c r="J3" t="s">
        <v>108</v>
      </c>
      <c r="K3" t="s">
        <v>210</v>
      </c>
      <c r="N3" t="s">
        <v>224</v>
      </c>
      <c r="O3" s="1">
        <v>46088</v>
      </c>
      <c r="P3" t="str">
        <f ca="1" t="shared" si="0"/>
        <v>24天</v>
      </c>
      <c r="R3" t="str">
        <f ca="1" t="shared" si="1"/>
        <v/>
      </c>
      <c r="S3" t="s">
        <v>111</v>
      </c>
      <c r="Z3" s="2">
        <v>24823</v>
      </c>
      <c r="AB3" t="s">
        <v>96</v>
      </c>
    </row>
    <row r="4" spans="1:29">
      <c r="A4" t="s">
        <v>567</v>
      </c>
      <c r="B4" t="s">
        <v>568</v>
      </c>
      <c r="C4" t="s">
        <v>569</v>
      </c>
      <c r="E4" t="s">
        <v>570</v>
      </c>
      <c r="F4" t="s">
        <v>76</v>
      </c>
      <c r="G4" t="s">
        <v>445</v>
      </c>
      <c r="H4" t="s">
        <v>403</v>
      </c>
      <c r="I4" t="s">
        <v>404</v>
      </c>
      <c r="J4" t="s">
        <v>108</v>
      </c>
      <c r="K4" t="s">
        <v>559</v>
      </c>
      <c r="M4" t="s">
        <v>452</v>
      </c>
      <c r="N4" t="s">
        <v>110</v>
      </c>
      <c r="O4" s="1">
        <v>46036</v>
      </c>
      <c r="P4" t="str">
        <f ca="1" t="shared" si="0"/>
        <v>2月17天</v>
      </c>
      <c r="R4" t="str">
        <f ca="1" t="shared" si="1"/>
        <v/>
      </c>
      <c r="S4" t="s">
        <v>111</v>
      </c>
      <c r="T4">
        <v>0</v>
      </c>
      <c r="U4">
        <v>0</v>
      </c>
      <c r="V4">
        <v>0</v>
      </c>
      <c r="W4" t="s">
        <v>571</v>
      </c>
      <c r="X4">
        <v>0</v>
      </c>
      <c r="Y4">
        <v>0</v>
      </c>
      <c r="Z4">
        <v>30602</v>
      </c>
      <c r="AB4" t="s">
        <v>96</v>
      </c>
    </row>
    <row r="5" spans="1:29">
      <c r="A5" t="s">
        <v>572</v>
      </c>
      <c r="B5" t="s">
        <v>573</v>
      </c>
      <c r="C5" t="s">
        <v>574</v>
      </c>
      <c r="E5" t="s">
        <v>574</v>
      </c>
      <c r="F5" t="s">
        <v>33</v>
      </c>
      <c r="G5" t="s">
        <v>402</v>
      </c>
      <c r="H5" t="s">
        <v>403</v>
      </c>
      <c r="I5" t="s">
        <v>483</v>
      </c>
      <c r="J5" t="s">
        <v>108</v>
      </c>
      <c r="L5" t="s">
        <v>405</v>
      </c>
      <c r="M5" t="s">
        <v>406</v>
      </c>
      <c r="N5" t="s">
        <v>575</v>
      </c>
      <c r="O5" s="1">
        <v>46036</v>
      </c>
      <c r="P5" t="str">
        <f ca="1" t="shared" si="0"/>
        <v>2月17天</v>
      </c>
      <c r="Q5" s="1">
        <v>46066</v>
      </c>
      <c r="R5" t="str">
        <f ca="1" t="shared" si="1"/>
        <v>1月18天</v>
      </c>
      <c r="S5" t="s">
        <v>111</v>
      </c>
      <c r="T5">
        <v>0</v>
      </c>
      <c r="U5">
        <v>0</v>
      </c>
      <c r="V5">
        <v>0</v>
      </c>
      <c r="W5" t="s">
        <v>576</v>
      </c>
      <c r="X5">
        <v>0</v>
      </c>
      <c r="Y5">
        <v>0</v>
      </c>
      <c r="Z5">
        <v>22312.89</v>
      </c>
      <c r="AA5">
        <v>15699.44</v>
      </c>
      <c r="AB5" t="s">
        <v>96</v>
      </c>
    </row>
    <row r="6" spans="1:29">
      <c r="A6" t="s">
        <v>577</v>
      </c>
      <c r="B6" t="s">
        <v>578</v>
      </c>
      <c r="C6" t="s">
        <v>579</v>
      </c>
      <c r="E6" t="s">
        <v>580</v>
      </c>
      <c r="F6" t="s">
        <v>33</v>
      </c>
      <c r="G6" t="s">
        <v>402</v>
      </c>
      <c r="H6" t="s">
        <v>403</v>
      </c>
      <c r="I6" t="s">
        <v>483</v>
      </c>
      <c r="J6" t="s">
        <v>108</v>
      </c>
      <c r="L6" t="s">
        <v>94</v>
      </c>
      <c r="M6" t="s">
        <v>406</v>
      </c>
      <c r="N6" t="s">
        <v>110</v>
      </c>
      <c r="O6" s="1">
        <v>46044</v>
      </c>
      <c r="P6" t="str">
        <f ca="1" t="shared" si="0"/>
        <v>2月9天</v>
      </c>
      <c r="Q6" s="1">
        <v>46081</v>
      </c>
      <c r="R6" t="str">
        <f ca="1" t="shared" si="1"/>
        <v>1月3天</v>
      </c>
      <c r="S6" t="s">
        <v>71</v>
      </c>
      <c r="T6">
        <v>0</v>
      </c>
      <c r="U6">
        <v>0</v>
      </c>
      <c r="V6">
        <v>0</v>
      </c>
      <c r="W6" t="s">
        <v>581</v>
      </c>
      <c r="Z6">
        <v>13978.67</v>
      </c>
      <c r="AA6">
        <v>11226.47</v>
      </c>
      <c r="AB6" t="s">
        <v>96</v>
      </c>
    </row>
    <row r="7" spans="1:29">
      <c r="A7" s="3" t="s">
        <v>582</v>
      </c>
      <c r="B7" t="s">
        <v>583</v>
      </c>
      <c r="C7" t="s">
        <v>584</v>
      </c>
      <c r="E7" t="s">
        <v>584</v>
      </c>
      <c r="F7" t="s">
        <v>33</v>
      </c>
      <c r="G7" t="s">
        <v>402</v>
      </c>
      <c r="H7" t="s">
        <v>403</v>
      </c>
      <c r="I7" t="s">
        <v>440</v>
      </c>
      <c r="J7" t="s">
        <v>108</v>
      </c>
      <c r="K7" t="s">
        <v>522</v>
      </c>
      <c r="L7" t="s">
        <v>522</v>
      </c>
      <c r="M7" t="s">
        <v>406</v>
      </c>
      <c r="N7" t="s">
        <v>585</v>
      </c>
      <c r="O7" s="1">
        <v>46059</v>
      </c>
      <c r="P7" t="str">
        <f ca="1" t="shared" si="0"/>
        <v>1月25天</v>
      </c>
      <c r="R7" t="str">
        <f ca="1" t="shared" si="1"/>
        <v/>
      </c>
      <c r="T7">
        <v>0</v>
      </c>
      <c r="U7">
        <v>0</v>
      </c>
      <c r="V7">
        <v>0</v>
      </c>
      <c r="W7" t="s">
        <v>586</v>
      </c>
      <c r="X7">
        <v>0</v>
      </c>
      <c r="Y7">
        <v>0</v>
      </c>
      <c r="Z7">
        <v>12854.62</v>
      </c>
      <c r="AB7" t="s">
        <v>96</v>
      </c>
    </row>
    <row r="8" spans="1:29">
      <c r="A8" t="s">
        <v>587</v>
      </c>
      <c r="C8" t="s">
        <v>588</v>
      </c>
      <c r="E8" t="s">
        <v>33</v>
      </c>
      <c r="F8" t="s">
        <v>33</v>
      </c>
      <c r="G8" t="s">
        <v>589</v>
      </c>
      <c r="H8" t="s">
        <v>403</v>
      </c>
      <c r="I8" t="s">
        <v>483</v>
      </c>
      <c r="J8" t="s">
        <v>108</v>
      </c>
      <c r="L8" t="s">
        <v>94</v>
      </c>
      <c r="M8" t="s">
        <v>406</v>
      </c>
      <c r="N8" t="s">
        <v>590</v>
      </c>
      <c r="O8" s="1">
        <v>46101</v>
      </c>
      <c r="P8" t="str">
        <f ca="1" t="shared" si="0"/>
        <v>11天</v>
      </c>
      <c r="R8" t="str">
        <f ca="1" t="shared" si="1"/>
        <v/>
      </c>
      <c r="Z8">
        <v>92.58</v>
      </c>
      <c r="AB8" t="s">
        <v>96</v>
      </c>
    </row>
    <row r="9" spans="1:29">
      <c r="A9" t="s">
        <v>663</v>
      </c>
      <c r="B9" t="s">
        <v>664</v>
      </c>
      <c r="C9" t="s">
        <v>665</v>
      </c>
      <c r="F9" t="s">
        <v>33</v>
      </c>
      <c r="G9" t="s">
        <v>34</v>
      </c>
      <c r="H9" t="s">
        <v>595</v>
      </c>
      <c r="I9" t="s">
        <v>650</v>
      </c>
      <c r="J9" t="s">
        <v>37</v>
      </c>
      <c r="K9" t="s">
        <v>38</v>
      </c>
      <c r="L9" t="s">
        <v>101</v>
      </c>
      <c r="M9" t="s">
        <v>597</v>
      </c>
      <c r="N9" t="s">
        <v>641</v>
      </c>
      <c r="O9" s="1">
        <v>46078</v>
      </c>
      <c r="P9" t="str">
        <f ca="1" t="shared" si="0"/>
        <v>1月6天</v>
      </c>
      <c r="Q9" s="1">
        <v>46090</v>
      </c>
      <c r="R9" t="str">
        <f ca="1" t="shared" si="1"/>
        <v>22天</v>
      </c>
      <c r="S9" t="s">
        <v>42</v>
      </c>
      <c r="T9">
        <v>0</v>
      </c>
      <c r="U9">
        <v>0</v>
      </c>
      <c r="V9">
        <v>0</v>
      </c>
      <c r="W9" t="s">
        <v>598</v>
      </c>
      <c r="X9" t="s">
        <v>666</v>
      </c>
      <c r="Y9">
        <v>0</v>
      </c>
      <c r="Z9">
        <v>0</v>
      </c>
      <c r="AA9">
        <v>14345.95</v>
      </c>
      <c r="AB9">
        <v>9570.24</v>
      </c>
      <c r="AC9" t="s">
        <v>96</v>
      </c>
    </row>
    <row r="10" spans="1:29">
      <c r="A10" t="s">
        <v>667</v>
      </c>
      <c r="B10" t="s">
        <v>654</v>
      </c>
      <c r="C10" t="s">
        <v>668</v>
      </c>
      <c r="D10" t="s">
        <v>668</v>
      </c>
      <c r="F10" t="s">
        <v>33</v>
      </c>
      <c r="G10" t="s">
        <v>669</v>
      </c>
      <c r="H10" t="s">
        <v>595</v>
      </c>
      <c r="I10" t="s">
        <v>631</v>
      </c>
      <c r="J10" t="s">
        <v>108</v>
      </c>
      <c r="K10" t="s">
        <v>522</v>
      </c>
      <c r="L10" t="s">
        <v>522</v>
      </c>
      <c r="M10" t="s">
        <v>597</v>
      </c>
      <c r="N10" t="s">
        <v>651</v>
      </c>
      <c r="O10" s="1">
        <v>46100</v>
      </c>
      <c r="P10" t="str">
        <f ca="1" t="shared" si="0"/>
        <v>12天</v>
      </c>
      <c r="R10" t="str">
        <f ca="1" t="shared" si="1"/>
        <v/>
      </c>
      <c r="S10" t="s">
        <v>111</v>
      </c>
      <c r="V10">
        <v>0</v>
      </c>
      <c r="X10" t="s">
        <v>657</v>
      </c>
      <c r="Y10">
        <v>0</v>
      </c>
      <c r="Z10">
        <v>0</v>
      </c>
      <c r="AC10" t="s">
        <v>96</v>
      </c>
    </row>
    <row r="11" spans="1:29">
      <c r="A11" s="3" t="s">
        <v>382</v>
      </c>
      <c r="C11" t="s">
        <v>670</v>
      </c>
      <c r="G11" t="s">
        <v>669</v>
      </c>
      <c r="H11" t="s">
        <v>595</v>
      </c>
      <c r="I11" t="s">
        <v>671</v>
      </c>
      <c r="J11" t="s">
        <v>108</v>
      </c>
      <c r="K11" t="s">
        <v>522</v>
      </c>
      <c r="L11" t="s">
        <v>522</v>
      </c>
      <c r="M11" t="s">
        <v>672</v>
      </c>
      <c r="N11" t="s">
        <v>553</v>
      </c>
      <c r="O11" s="1">
        <v>46088</v>
      </c>
      <c r="P11" t="str">
        <f ca="1" t="shared" si="0"/>
        <v>24天</v>
      </c>
      <c r="R11" t="str">
        <f ca="1" t="shared" si="1"/>
        <v/>
      </c>
      <c r="V11">
        <v>0</v>
      </c>
      <c r="AC11" t="s">
        <v>96</v>
      </c>
    </row>
    <row r="12" spans="1:29">
      <c r="A12" s="3" t="s">
        <v>382</v>
      </c>
      <c r="C12" t="s">
        <v>673</v>
      </c>
      <c r="E12" t="s">
        <v>33</v>
      </c>
      <c r="F12" t="s">
        <v>33</v>
      </c>
      <c r="G12" t="s">
        <v>669</v>
      </c>
      <c r="H12" t="s">
        <v>595</v>
      </c>
      <c r="I12" t="s">
        <v>674</v>
      </c>
      <c r="J12" t="s">
        <v>108</v>
      </c>
      <c r="L12" t="s">
        <v>615</v>
      </c>
      <c r="M12" t="s">
        <v>597</v>
      </c>
      <c r="N12" t="s">
        <v>590</v>
      </c>
      <c r="O12" s="1">
        <v>46100</v>
      </c>
      <c r="P12" t="str">
        <f ca="1" t="shared" si="0"/>
        <v>12天</v>
      </c>
      <c r="R12" t="str">
        <f ca="1" t="shared" si="1"/>
        <v/>
      </c>
      <c r="V12">
        <v>0</v>
      </c>
      <c r="AC12" t="s">
        <v>96</v>
      </c>
    </row>
    <row r="13" spans="1:29">
      <c r="A13" t="s">
        <v>803</v>
      </c>
      <c r="B13" t="s">
        <v>804</v>
      </c>
      <c r="C13" t="s">
        <v>805</v>
      </c>
      <c r="F13" t="s">
        <v>33</v>
      </c>
      <c r="G13" t="s">
        <v>49</v>
      </c>
      <c r="H13" t="s">
        <v>678</v>
      </c>
      <c r="I13" t="s">
        <v>740</v>
      </c>
      <c r="J13" t="s">
        <v>108</v>
      </c>
      <c r="L13" t="s">
        <v>136</v>
      </c>
      <c r="M13" t="s">
        <v>795</v>
      </c>
      <c r="O13" s="1">
        <v>46026</v>
      </c>
      <c r="P13" t="str">
        <f ca="1" t="shared" si="0"/>
        <v>2月27天</v>
      </c>
      <c r="R13" t="str">
        <f ca="1" t="shared" si="1"/>
        <v/>
      </c>
      <c r="S13" t="s">
        <v>111</v>
      </c>
      <c r="T13">
        <v>0</v>
      </c>
      <c r="U13">
        <v>0</v>
      </c>
      <c r="V13">
        <v>0</v>
      </c>
      <c r="W13" t="s">
        <v>806</v>
      </c>
      <c r="X13">
        <v>0</v>
      </c>
      <c r="Y13">
        <v>0</v>
      </c>
      <c r="Z13">
        <v>15462.42</v>
      </c>
      <c r="AB13" t="s">
        <v>96</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sProps>
  <woBookProps>
    <bookSettings fileId="506562941421"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List sheetStid="9"/>
  <pixelatorList sheetStid="10"/>
  <pixelatorList sheetStid="11"/>
  <pixelatorList sheetStid="13"/>
  <pixelatorList sheetStid="1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12</vt:i4>
      </vt:variant>
    </vt:vector>
  </HeadingPairs>
  <TitlesOfParts>
    <vt:vector size="12" baseType="lpstr">
      <vt:lpstr>吉林_1</vt:lpstr>
      <vt:lpstr>辽宁_8</vt:lpstr>
      <vt:lpstr>内蒙古_13</vt:lpstr>
      <vt:lpstr>河北_6</vt:lpstr>
      <vt:lpstr>河南_36</vt:lpstr>
      <vt:lpstr>湖北_39</vt:lpstr>
      <vt:lpstr>新疆_17</vt:lpstr>
      <vt:lpstr>山东_25</vt:lpstr>
      <vt:lpstr>北京_1</vt:lpstr>
      <vt:lpstr>天津_1</vt:lpstr>
      <vt:lpstr>落地_8</vt:lpstr>
      <vt:lpstr>26年开设专区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陈海勇</cp:lastModifiedBy>
  <dcterms:created xsi:type="dcterms:W3CDTF">2026-03-28T17:51:00Z</dcterms:created>
  <dcterms:modified xsi:type="dcterms:W3CDTF">2026-03-31T15:24:00Z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328A605861B0432DB00829C26A1A64ED_12</vt:lpwstr>
  </property>
  <property fmtid="{D5CDD505-2E9C-101B-9397-08002B2CF9AE}" pid="3" name="KSOProductBuildVer">
    <vt:lpwstr>2052-12.9.0.25862</vt:lpwstr>
  </property>
  <property fmtid="{D5CDD505-2E9C-101B-9397-08002B2CF9AE}" pid="4" name="CalculationRule">
    <vt:i4>0</vt:i4>
  </property>
</Properties>
</file>