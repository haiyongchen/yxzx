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91"/>
  </bookViews>
  <sheets>
    <sheet name="合并数据" sheetId="1" r:id="rId1"/>
  </sheets>
  <definedNames>
    <definedName name="_xlnm._FilterDatabase" localSheetId="0" hidden="1">合并数据!$A$1:$AL$129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<sst xmlns="http://schemas.openxmlformats.org/spreadsheetml/2006/main" count="3895" uniqueCount="929">
  <si>
    <t>合同编号</t>
  </si>
  <si>
    <t>专区码</t>
  </si>
  <si>
    <t xml:space="preserve"> 专区名称</t>
  </si>
  <si>
    <t>所属</t>
  </si>
  <si>
    <t>客户类型</t>
  </si>
  <si>
    <t>分公司</t>
  </si>
  <si>
    <t>省份</t>
  </si>
  <si>
    <t>地市</t>
  </si>
  <si>
    <t>所属平台</t>
  </si>
  <si>
    <t>项目经理</t>
  </si>
  <si>
    <t>远程交付</t>
  </si>
  <si>
    <t>商务</t>
  </si>
  <si>
    <t>开发</t>
  </si>
  <si>
    <t>确认接入时间</t>
  </si>
  <si>
    <t>接入时间至今</t>
  </si>
  <si>
    <t>专区上线自检表反馈时间</t>
  </si>
  <si>
    <t>上线时间至今</t>
  </si>
  <si>
    <t>专区状态</t>
  </si>
  <si>
    <t>25年收益情况</t>
  </si>
  <si>
    <t>26年收益情况</t>
  </si>
  <si>
    <t>总收益情况</t>
  </si>
  <si>
    <t>专区地址</t>
  </si>
  <si>
    <t>近期交易</t>
  </si>
  <si>
    <t>今日开标</t>
  </si>
  <si>
    <t>专区成本</t>
  </si>
  <si>
    <t>成本率</t>
  </si>
  <si>
    <t>上线前成本</t>
  </si>
  <si>
    <t>预警等级</t>
  </si>
  <si>
    <t>备注</t>
  </si>
  <si>
    <t>来源Sheet</t>
  </si>
  <si>
    <t>收款方式</t>
  </si>
  <si>
    <t>项目名称</t>
  </si>
  <si>
    <t>省</t>
  </si>
  <si>
    <t>市</t>
  </si>
  <si>
    <t>负责人</t>
  </si>
  <si>
    <t>阶段</t>
  </si>
  <si>
    <t>已收建设费</t>
  </si>
  <si>
    <t>C2023110032</t>
  </si>
  <si>
    <t>DQ_ZCQLC</t>
  </si>
  <si>
    <t>内蒙古招投标电子交易平台</t>
  </si>
  <si>
    <t/>
  </si>
  <si>
    <t>中采全流程电子交易平台</t>
  </si>
  <si>
    <t>企业</t>
  </si>
  <si>
    <t>交易云服务华北分公司</t>
  </si>
  <si>
    <t>内蒙古蒙古族自治区</t>
  </si>
  <si>
    <t>通辽市</t>
  </si>
  <si>
    <t>新点电子交易平台（7.0）</t>
  </si>
  <si>
    <t>夏焕焕</t>
  </si>
  <si>
    <t>梁磊</t>
  </si>
  <si>
    <t>黄安、沈智珩</t>
  </si>
  <si>
    <t>3年6月2天</t>
  </si>
  <si>
    <t>3年4月13天</t>
  </si>
  <si>
    <t>上线有量</t>
  </si>
  <si>
    <t>http://nmgzc.etrading.cn/</t>
  </si>
  <si>
    <t>长期无收益预警(红色);成熟期收益不达标(橙色)</t>
  </si>
  <si>
    <t>内蒙古_13</t>
  </si>
  <si>
    <t>C2024070027</t>
  </si>
  <si>
    <t>DQ_Eerduosixin</t>
  </si>
  <si>
    <t>鄂尔多斯专区</t>
  </si>
  <si>
    <t>政府</t>
  </si>
  <si>
    <t>鄂尔多斯</t>
  </si>
  <si>
    <t>黄安</t>
  </si>
  <si>
    <t>1年10月1天</t>
  </si>
  <si>
    <t>1年8月28天</t>
  </si>
  <si>
    <t>https://eeds.etrading.cn/</t>
  </si>
  <si>
    <t>C2025030018</t>
  </si>
  <si>
    <t>DQ_ZZJT</t>
  </si>
  <si>
    <t>中招建通新点电子交易平台</t>
  </si>
  <si>
    <t>呼和浩特市</t>
  </si>
  <si>
    <t>法智成</t>
  </si>
  <si>
    <t>1年15天</t>
  </si>
  <si>
    <t>11月17天</t>
  </si>
  <si>
    <t>http://zzjt.etrading.cn/</t>
  </si>
  <si>
    <t xml:space="preserve">C2025040019 </t>
  </si>
  <si>
    <t>DQ_MSJY</t>
  </si>
  <si>
    <t>明世继元新点电子交易平台</t>
  </si>
  <si>
    <t>1年6天</t>
  </si>
  <si>
    <t>10月16天</t>
  </si>
  <si>
    <t>数据推送有问题待排查</t>
  </si>
  <si>
    <t>https://msjy.etrading.cn/</t>
  </si>
  <si>
    <t>C2025040021</t>
  </si>
  <si>
    <t>DQ_GNZX</t>
  </si>
  <si>
    <t>国能咨询新点电子交易平台专区</t>
  </si>
  <si>
    <t>无</t>
  </si>
  <si>
    <t>谭慧敏</t>
  </si>
  <si>
    <t>11月23天</t>
  </si>
  <si>
    <t>10月20天</t>
  </si>
  <si>
    <t>https://gnzx.etrading.cn/</t>
  </si>
  <si>
    <t>C2025080005</t>
  </si>
  <si>
    <t>DQ_BYNE</t>
  </si>
  <si>
    <t>巴彦淖尔市阳光招采电子交易平台</t>
  </si>
  <si>
    <t>巴彦淖尔市</t>
  </si>
  <si>
    <t>8月3天</t>
  </si>
  <si>
    <t>7月10天</t>
  </si>
  <si>
    <t>https://byne.etrading.cn/</t>
  </si>
  <si>
    <t>C2025080057</t>
  </si>
  <si>
    <t>DQ_BFCX</t>
  </si>
  <si>
    <t>北方诚信电子交易平台</t>
  </si>
  <si>
    <t>7月11天</t>
  </si>
  <si>
    <t>暂停</t>
  </si>
  <si>
    <t>正常</t>
  </si>
  <si>
    <t>C2025020028</t>
  </si>
  <si>
    <t>DQ_ZhengLue</t>
  </si>
  <si>
    <t>高普专区</t>
  </si>
  <si>
    <t>正略专区</t>
  </si>
  <si>
    <t>交易云服务华东分公司</t>
  </si>
  <si>
    <t>河北省</t>
  </si>
  <si>
    <t>保定市</t>
  </si>
  <si>
    <t>卜舒琴</t>
  </si>
  <si>
    <t>刘振飞</t>
  </si>
  <si>
    <t>1年1月14天</t>
  </si>
  <si>
    <t>1年29天</t>
  </si>
  <si>
    <t>https://gaopu.etrading.cn/</t>
  </si>
  <si>
    <t>河北_6</t>
  </si>
  <si>
    <t>C2025090022</t>
  </si>
  <si>
    <t>DQ_ZZJSYYCGPT</t>
  </si>
  <si>
    <t>张家口市第一医院招标采购平台</t>
  </si>
  <si>
    <t>其他</t>
  </si>
  <si>
    <t>石家庄分公司</t>
  </si>
  <si>
    <t>企业数字化采购平台（8.0）</t>
  </si>
  <si>
    <t>李晗宇</t>
  </si>
  <si>
    <t>袁振州</t>
  </si>
  <si>
    <t>李小科</t>
  </si>
  <si>
    <t>钟源</t>
  </si>
  <si>
    <t>6月20天</t>
  </si>
  <si>
    <t>https://zjksdyyyzbcg.etrading.cn/</t>
  </si>
  <si>
    <t>C2026030007</t>
  </si>
  <si>
    <t>DQ_HBZQJYPT</t>
  </si>
  <si>
    <t>河北招采专区</t>
  </si>
  <si>
    <t>石家庄市</t>
  </si>
  <si>
    <t>王文朴</t>
  </si>
  <si>
    <t>路亚波</t>
  </si>
  <si>
    <t>25天</t>
  </si>
  <si>
    <t>推进中</t>
  </si>
  <si>
    <t>C2026030012</t>
  </si>
  <si>
    <t>咸宁市咸安区经济发展（集团)有限公司招采平台</t>
  </si>
  <si>
    <t>交易武汉分公司</t>
  </si>
  <si>
    <t>湖北省</t>
  </si>
  <si>
    <t>咸宁市</t>
  </si>
  <si>
    <t>罗永健</t>
  </si>
  <si>
    <t>罗姬续</t>
  </si>
  <si>
    <t>12天</t>
  </si>
  <si>
    <t>湖北_39</t>
  </si>
  <si>
    <t>C2025010013</t>
  </si>
  <si>
    <t>DQ_xjxy</t>
  </si>
  <si>
    <t>南疆区域招投标交易智慧平台</t>
  </si>
  <si>
    <t>新疆维吾尔族自治区</t>
  </si>
  <si>
    <t>喀什</t>
  </si>
  <si>
    <t>张园园</t>
  </si>
  <si>
    <t>李鹏博</t>
  </si>
  <si>
    <t>1年11月25天</t>
  </si>
  <si>
    <t>1年11月13天</t>
  </si>
  <si>
    <t>https://nanjiang.etrading.cn/</t>
  </si>
  <si>
    <t>新疆_17</t>
  </si>
  <si>
    <t>线上客户全收，线下结算</t>
  </si>
  <si>
    <t>C2026030015</t>
  </si>
  <si>
    <t>DQ_CJZGK</t>
  </si>
  <si>
    <t>哈密市政工程招采平台</t>
  </si>
  <si>
    <t>交易云乌鲁木齐分公司</t>
  </si>
  <si>
    <t>哈密</t>
  </si>
  <si>
    <t>李勇</t>
  </si>
  <si>
    <t>耿昀</t>
  </si>
  <si>
    <t>13天</t>
  </si>
  <si>
    <t>https://hamisz.etrading.cn/</t>
  </si>
  <si>
    <t>暂无</t>
  </si>
  <si>
    <t>墨玉县招采平台</t>
  </si>
  <si>
    <t>和田地区</t>
  </si>
  <si>
    <t>谭伟</t>
  </si>
  <si>
    <t>周恒</t>
  </si>
  <si>
    <t>巴州政村企阳光招采平台</t>
  </si>
  <si>
    <t>大企业</t>
  </si>
  <si>
    <t xml:space="preserve"> 巴音郭楞蒙古自治州</t>
  </si>
  <si>
    <t>C2025070041;A2025070064;A2025030199</t>
  </si>
  <si>
    <t>河南省机电设备国际招标有限公司门户网站及业务管理系统升级改造项目</t>
  </si>
  <si>
    <t>于登朝</t>
  </si>
  <si>
    <t>落地_8</t>
  </si>
  <si>
    <t>河南</t>
  </si>
  <si>
    <t>郑州</t>
  </si>
  <si>
    <t>罗志郸</t>
  </si>
  <si>
    <t>C2024050023</t>
  </si>
  <si>
    <t>DQ_CJCJSZ</t>
  </si>
  <si>
    <t>昌吉城建市政招采平台</t>
  </si>
  <si>
    <t>昌吉</t>
  </si>
  <si>
    <t>江苏限额以下平台（7.0）</t>
  </si>
  <si>
    <t>2年25天</t>
  </si>
  <si>
    <t>2年14天</t>
  </si>
  <si>
    <t>https://cjcjsz.etrading.cn/</t>
  </si>
  <si>
    <t>线上我司全收</t>
  </si>
  <si>
    <t>C2021060008</t>
  </si>
  <si>
    <t>河南豫信电子化招标采购平台</t>
  </si>
  <si>
    <t>李孟辉</t>
  </si>
  <si>
    <t>鲁晓月</t>
  </si>
  <si>
    <t>营运</t>
  </si>
  <si>
    <t>C2021080041</t>
  </si>
  <si>
    <t>DQ_HuBei</t>
  </si>
  <si>
    <t>湖北专区</t>
  </si>
  <si>
    <t>交易云服务华南分公司</t>
  </si>
  <si>
    <t>涂有龙</t>
  </si>
  <si>
    <t>王寅迟、陈强</t>
  </si>
  <si>
    <t>4年9月16天</t>
  </si>
  <si>
    <t>4年8月16天</t>
  </si>
  <si>
    <t>http://hubei.etrading.cn</t>
  </si>
  <si>
    <t>C2025010014</t>
  </si>
  <si>
    <t>DQ_Zhengxing</t>
  </si>
  <si>
    <t>正兴数字化交易服务平台</t>
  </si>
  <si>
    <t>乌鲁木齐</t>
  </si>
  <si>
    <t>王沈斌</t>
  </si>
  <si>
    <t>1年10月4天</t>
  </si>
  <si>
    <t>https://zhengxing.etrading.cn/</t>
  </si>
  <si>
    <t>C2022010032</t>
  </si>
  <si>
    <t>DQ_JinMenChengKong</t>
  </si>
  <si>
    <t>荆门城控专区</t>
  </si>
  <si>
    <t>荆门市</t>
  </si>
  <si>
    <t>4年3月23天</t>
  </si>
  <si>
    <t>4年3月8天</t>
  </si>
  <si>
    <t>https://jmck.etrading.cn/</t>
  </si>
  <si>
    <t>C2025070019</t>
  </si>
  <si>
    <t>金水投资集团电子招采平台建设运营项目</t>
  </si>
  <si>
    <t>彭江涛</t>
  </si>
  <si>
    <t>C2025010021</t>
  </si>
  <si>
    <t>DQ_ShengTie</t>
  </si>
  <si>
    <t>沈铁专区</t>
  </si>
  <si>
    <t xml:space="preserve"> 沈阳分公司</t>
  </si>
  <si>
    <t>辽宁省</t>
  </si>
  <si>
    <t>沈阳市</t>
  </si>
  <si>
    <t>孙立伟</t>
  </si>
  <si>
    <t>/</t>
  </si>
  <si>
    <t xml:space="preserve"> 刘晓光</t>
  </si>
  <si>
    <t>1年2月15天</t>
  </si>
  <si>
    <t>1年1月18天</t>
  </si>
  <si>
    <t>https://shentie.etrading.cn/</t>
  </si>
  <si>
    <t>运营成本过高(红色)</t>
  </si>
  <si>
    <t>辽宁_8</t>
  </si>
  <si>
    <t>C2025060003</t>
  </si>
  <si>
    <t>DQ_CJZJT</t>
  </si>
  <si>
    <t>昌吉州交投平台</t>
  </si>
  <si>
    <t>昌吉州</t>
  </si>
  <si>
    <t>10月0天</t>
  </si>
  <si>
    <t>https://cjjt.etrading.cn</t>
  </si>
  <si>
    <t xml:space="preserve">C2022070024 </t>
  </si>
  <si>
    <t>DQ_HanJiang</t>
  </si>
  <si>
    <t>汉江集团专区</t>
  </si>
  <si>
    <t>十堰市</t>
  </si>
  <si>
    <t>3年8月17天</t>
  </si>
  <si>
    <t>3年7月5天</t>
  </si>
  <si>
    <t>https://hanjiang.etrading.cn/</t>
  </si>
  <si>
    <t>C2023110050</t>
  </si>
  <si>
    <t>DQ_YiLi</t>
  </si>
  <si>
    <t>伊犁专区</t>
  </si>
  <si>
    <t>伊宁市</t>
  </si>
  <si>
    <t>2年4月12天</t>
  </si>
  <si>
    <t>2年3月17天</t>
  </si>
  <si>
    <t>https://yili.etrading.cn/</t>
  </si>
  <si>
    <t>C2024010007</t>
  </si>
  <si>
    <t>DQ_ZhiCheng</t>
  </si>
  <si>
    <t>至诚专区</t>
  </si>
  <si>
    <t>河南省</t>
  </si>
  <si>
    <t>郑州市</t>
  </si>
  <si>
    <t>张渝、陈章</t>
  </si>
  <si>
    <t>2年2月27天</t>
  </si>
  <si>
    <t>2年2月6天</t>
  </si>
  <si>
    <t>https://zhicheng.etrading.cn/</t>
  </si>
  <si>
    <t>河南_36</t>
  </si>
  <si>
    <t>C2022090009</t>
  </si>
  <si>
    <t>DQ_JiYuan</t>
  </si>
  <si>
    <t>济源专区</t>
  </si>
  <si>
    <t>济源市</t>
  </si>
  <si>
    <t>3年7月15天</t>
  </si>
  <si>
    <t>3年6月18天</t>
  </si>
  <si>
    <t>https://jiyuan.etrading.cn/</t>
  </si>
  <si>
    <t xml:space="preserve">C2024120017 </t>
  </si>
  <si>
    <t>DQ_nzjt</t>
  </si>
  <si>
    <t>南漳建投专区</t>
  </si>
  <si>
    <t>南漳县</t>
  </si>
  <si>
    <t>周剑</t>
  </si>
  <si>
    <t>1年4月3天</t>
  </si>
  <si>
    <t>1年3月3天</t>
  </si>
  <si>
    <t>上线无量</t>
  </si>
  <si>
    <t>https://nzxzbcg.etrading.cn/</t>
  </si>
  <si>
    <t>C2024100021</t>
  </si>
  <si>
    <t>DQ_Cjshangmao</t>
  </si>
  <si>
    <t xml:space="preserve">新疆昌隆建设招采平台 </t>
  </si>
  <si>
    <t>昌吉商贸平台</t>
  </si>
  <si>
    <t>1年10月9天</t>
  </si>
  <si>
    <t>1年9月0天</t>
  </si>
  <si>
    <t>https://xjcljs.etrading.cn/</t>
  </si>
  <si>
    <t>C2024120055</t>
  </si>
  <si>
    <t>DQ_WHDWYY</t>
  </si>
  <si>
    <t>武汉市第五医院线上采购系统</t>
  </si>
  <si>
    <t>武汉分公司</t>
  </si>
  <si>
    <t>武汉市</t>
  </si>
  <si>
    <t>蔡洪昊</t>
  </si>
  <si>
    <t>刘宇泰</t>
  </si>
  <si>
    <t>王寅迟,陈强</t>
  </si>
  <si>
    <t>1年3月13天</t>
  </si>
  <si>
    <t>2年1月22天</t>
  </si>
  <si>
    <t>https://whsyyxscgxt.etrading.cn/</t>
  </si>
  <si>
    <t>C2023030024</t>
  </si>
  <si>
    <t>DQ_XinJiang</t>
  </si>
  <si>
    <t>新疆专区</t>
  </si>
  <si>
    <t>新疆</t>
  </si>
  <si>
    <t>4年7月22天</t>
  </si>
  <si>
    <t>4年7月7天</t>
  </si>
  <si>
    <t>http://xinjiang.etrading.cn</t>
  </si>
  <si>
    <t>运营成本过高(红色);成熟期收益不达标(橙色)</t>
  </si>
  <si>
    <t>C2021110048</t>
  </si>
  <si>
    <t>DQ_JiaMing</t>
  </si>
  <si>
    <t>嘉铭专区</t>
  </si>
  <si>
    <t>省直辖县级行政区划</t>
  </si>
  <si>
    <t>5年8月4天</t>
  </si>
  <si>
    <t>5年7月6天</t>
  </si>
  <si>
    <t>https://jiaming.etrading.cn/</t>
  </si>
  <si>
    <t>C2024120058</t>
  </si>
  <si>
    <t>DQ_HaJian</t>
  </si>
  <si>
    <t>哈建集团电子招采平台</t>
  </si>
  <si>
    <t>丁秀春</t>
  </si>
  <si>
    <t>1年8月15天</t>
  </si>
  <si>
    <t>https://hajian.etrading.cn/</t>
  </si>
  <si>
    <t>C2023040010</t>
  </si>
  <si>
    <t>DQ_TianJin</t>
  </si>
  <si>
    <t>津e采</t>
  </si>
  <si>
    <t>天津专区</t>
  </si>
  <si>
    <t>天津市</t>
  </si>
  <si>
    <t>2年11月18天</t>
  </si>
  <si>
    <t>2年10月20天</t>
  </si>
  <si>
    <t>https://www.jinecai.cn/</t>
  </si>
  <si>
    <t>天津_1</t>
  </si>
  <si>
    <t xml:space="preserve">C2023110060 </t>
  </si>
  <si>
    <t>DQ_LKXXGCZ</t>
  </si>
  <si>
    <t>兰考县兴工财政投资有限公司招采平台</t>
  </si>
  <si>
    <t>开封市</t>
  </si>
  <si>
    <t>2年5月7天</t>
  </si>
  <si>
    <t>2年4月19天</t>
  </si>
  <si>
    <t>https://lankao.etrading.cn/</t>
  </si>
  <si>
    <t>C2024050027</t>
  </si>
  <si>
    <t>DQ_Guozhitai</t>
  </si>
  <si>
    <t>国之泰专区</t>
  </si>
  <si>
    <t>张渝,陈章</t>
  </si>
  <si>
    <t>1年10月11天</t>
  </si>
  <si>
    <t>1年9月13天</t>
  </si>
  <si>
    <t>https://gzt.etrading.cn/</t>
  </si>
  <si>
    <t>C2023020001</t>
  </si>
  <si>
    <t>DQ_XianNingChengfa</t>
  </si>
  <si>
    <t>咸宁城发</t>
  </si>
  <si>
    <t>3年4月15天</t>
  </si>
  <si>
    <t>3年2月19天</t>
  </si>
  <si>
    <t>https://xncf.etrading.cn/</t>
  </si>
  <si>
    <t>C2024010027</t>
  </si>
  <si>
    <t>DQ_ZhongYuanYZ</t>
  </si>
  <si>
    <t>河南“中原云招”专区</t>
  </si>
  <si>
    <t>韩博</t>
  </si>
  <si>
    <t>2年2月14天</t>
  </si>
  <si>
    <t>2年1月30天</t>
  </si>
  <si>
    <t>https://zhongyuanyz.etrading.cn/</t>
  </si>
  <si>
    <t>C2022090008</t>
  </si>
  <si>
    <t>DQ_ZhengJi</t>
  </si>
  <si>
    <t>正济专区</t>
  </si>
  <si>
    <t>3年7月2天</t>
  </si>
  <si>
    <t>3年6月13天</t>
  </si>
  <si>
    <t>https://zhengji.etrading.cn/</t>
  </si>
  <si>
    <t>C2022120014</t>
  </si>
  <si>
    <t>DQ_RunZe</t>
  </si>
  <si>
    <t>润泽专区</t>
  </si>
  <si>
    <t>3年4月0天</t>
  </si>
  <si>
    <t>3年3月4天</t>
  </si>
  <si>
    <t>http://runze.etrading.cn/</t>
  </si>
  <si>
    <t>C2022080033</t>
  </si>
  <si>
    <t>DQ_HenXin</t>
  </si>
  <si>
    <t>恒信专区</t>
  </si>
  <si>
    <t>3年7月14天</t>
  </si>
  <si>
    <t>https://hengxin.etrading.cn/</t>
  </si>
  <si>
    <t>C2025040057</t>
  </si>
  <si>
    <t>DQ_ShangKun</t>
  </si>
  <si>
    <t>尚坤电子招标采购平台</t>
  </si>
  <si>
    <t>沈智珩</t>
  </si>
  <si>
    <t>11月3天</t>
  </si>
  <si>
    <t>https://shangkun.etrading.cn/</t>
  </si>
  <si>
    <t>C2022120057;B2025120073</t>
  </si>
  <si>
    <t>DQ_ZGMH</t>
  </si>
  <si>
    <t>中国民航专区</t>
  </si>
  <si>
    <t>北京市</t>
  </si>
  <si>
    <t>通州区</t>
  </si>
  <si>
    <t>3年2月2天</t>
  </si>
  <si>
    <t>2年11月29天</t>
  </si>
  <si>
    <t>https://zgmh.etrading.cn/</t>
  </si>
  <si>
    <t>北京_1</t>
  </si>
  <si>
    <t xml:space="preserve">C2022060010 </t>
  </si>
  <si>
    <t>DQ_ZhongGuangDianZi</t>
  </si>
  <si>
    <t>中光电子公共资源交易平台</t>
  </si>
  <si>
    <t>3年10月14天</t>
  </si>
  <si>
    <t>3年10月5天</t>
  </si>
  <si>
    <t>https://zgdz.etrading.cn/</t>
  </si>
  <si>
    <t>C2025030012</t>
  </si>
  <si>
    <t>DQ_CJGXJSCYPT</t>
  </si>
  <si>
    <t>昌吉高新技术产业招标采购平台</t>
  </si>
  <si>
    <t>昌吉回族自治州高新技术产业发展有限责任公司限额以下项目电子采购平台</t>
  </si>
  <si>
    <t>1年5月4天</t>
  </si>
  <si>
    <t>1年4月17天</t>
  </si>
  <si>
    <t>C2021050007</t>
  </si>
  <si>
    <t xml:space="preserve"> DQ_ZhongYuan</t>
  </si>
  <si>
    <t>中元专区</t>
  </si>
  <si>
    <t>宜昌市</t>
  </si>
  <si>
    <t>4年11月24天</t>
  </si>
  <si>
    <t>4年11月0天</t>
  </si>
  <si>
    <t>http://zhongyuan.etrading.cn</t>
  </si>
  <si>
    <t>C2022070019</t>
  </si>
  <si>
    <t>DQ_NeiMengGu</t>
  </si>
  <si>
    <t>内蒙古专区</t>
  </si>
  <si>
    <t>4年2月27天</t>
  </si>
  <si>
    <t>4年21天</t>
  </si>
  <si>
    <t>https://nmg.etrading.cn/</t>
  </si>
  <si>
    <t>C2025100008</t>
  </si>
  <si>
    <t>DQ_CDSWZQ</t>
  </si>
  <si>
    <t>承德水务集团招采专区</t>
  </si>
  <si>
    <t>承德市</t>
  </si>
  <si>
    <t>胡希哲</t>
  </si>
  <si>
    <t>叶明强</t>
  </si>
  <si>
    <t>5月22天</t>
  </si>
  <si>
    <t>https://cdswzq.etrading.cn/</t>
  </si>
  <si>
    <t>C2024120019</t>
  </si>
  <si>
    <t>DQ_MengZhao</t>
  </si>
  <si>
    <t>蒙招专区</t>
  </si>
  <si>
    <t>顾梦娇</t>
  </si>
  <si>
    <t>白泽江</t>
  </si>
  <si>
    <t>1年3月29天</t>
  </si>
  <si>
    <t>1年3月5天</t>
  </si>
  <si>
    <t>https://mengzhao.etrading.cn/</t>
  </si>
  <si>
    <t>C2025060006</t>
  </si>
  <si>
    <t>DQ_JiYuanGD</t>
  </si>
  <si>
    <t>智达专区</t>
  </si>
  <si>
    <t>济源光大专区</t>
  </si>
  <si>
    <t>张渝</t>
  </si>
  <si>
    <t>9月28天</t>
  </si>
  <si>
    <t>https://jiyuangd.etrading.cn/</t>
  </si>
  <si>
    <t>C2025040023</t>
  </si>
  <si>
    <t>DQ_MNSGTPT</t>
  </si>
  <si>
    <t>玛纳斯国投电子招标采购平台</t>
  </si>
  <si>
    <t>1年22天</t>
  </si>
  <si>
    <t>https://mnsgt.etrading.cn/</t>
  </si>
  <si>
    <t>C2023030007</t>
  </si>
  <si>
    <t>DQ_LinRui</t>
  </si>
  <si>
    <t>临易采专区</t>
  </si>
  <si>
    <t>原临瑞专区</t>
  </si>
  <si>
    <t>山东省</t>
  </si>
  <si>
    <t>临沂市</t>
  </si>
  <si>
    <t>张宇田</t>
  </si>
  <si>
    <t>3年1月4天</t>
  </si>
  <si>
    <t>3年3天</t>
  </si>
  <si>
    <t>https://linrui.etrading.cn/</t>
  </si>
  <si>
    <t>山东_25</t>
  </si>
  <si>
    <t>C2021120013</t>
  </si>
  <si>
    <t>DQ_DeZhou</t>
  </si>
  <si>
    <t>德e采专区</t>
  </si>
  <si>
    <t>德州市</t>
  </si>
  <si>
    <t>丁棋效</t>
  </si>
  <si>
    <t>4年4月16天</t>
  </si>
  <si>
    <t>4年3月29天</t>
  </si>
  <si>
    <t>http://dec.etrading.cn</t>
  </si>
  <si>
    <t>C2022030018</t>
  </si>
  <si>
    <t>DQ_HanGuang</t>
  </si>
  <si>
    <t>瀚广专区</t>
  </si>
  <si>
    <t>淄博市</t>
  </si>
  <si>
    <t>4年1月18天</t>
  </si>
  <si>
    <t>http://hanguang.etrading.cn/</t>
  </si>
  <si>
    <t>C2025030032</t>
  </si>
  <si>
    <t>DQ_shandongsx</t>
  </si>
  <si>
    <t>山东卓舜电子交易平台</t>
  </si>
  <si>
    <t>济南</t>
  </si>
  <si>
    <t>刘天华</t>
  </si>
  <si>
    <t>1年12天</t>
  </si>
  <si>
    <t>https://shandongsx.etrading.cn/</t>
  </si>
  <si>
    <t>C2022010026</t>
  </si>
  <si>
    <t>DQ_WanChen</t>
  </si>
  <si>
    <t>南阳专区</t>
  </si>
  <si>
    <t>南阳市</t>
  </si>
  <si>
    <t>4年1月22天</t>
  </si>
  <si>
    <t>4年1月21天</t>
  </si>
  <si>
    <t>http://wanchen.etrading.cn/</t>
  </si>
  <si>
    <t>C2024010006</t>
  </si>
  <si>
    <t>DQ_ZhongLuo</t>
  </si>
  <si>
    <t>中洛互通招标采购电子交易平台</t>
  </si>
  <si>
    <t>2年3月12天</t>
  </si>
  <si>
    <t>https://zhongluo.etrading.cn/</t>
  </si>
  <si>
    <t>C2023090029</t>
  </si>
  <si>
    <t>DQ_GuanZhong</t>
  </si>
  <si>
    <t>管仲专区</t>
  </si>
  <si>
    <t>王正初</t>
  </si>
  <si>
    <t>2年6月28天</t>
  </si>
  <si>
    <t>2年6月10天</t>
  </si>
  <si>
    <t>https://guanzhong.etrading.cn/</t>
  </si>
  <si>
    <t>成熟期收益不达标(橙色)</t>
  </si>
  <si>
    <t>C2024110039</t>
  </si>
  <si>
    <t>DQ_ZhiBo</t>
  </si>
  <si>
    <t>齐易采专区</t>
  </si>
  <si>
    <t>淄博专区</t>
  </si>
  <si>
    <t xml:space="preserve">刘基树 </t>
  </si>
  <si>
    <t>1年5月16天</t>
  </si>
  <si>
    <t>1年5月0天</t>
  </si>
  <si>
    <t>https://zibo.etrading.cn/</t>
  </si>
  <si>
    <t>C2024020005</t>
  </si>
  <si>
    <t>DQ_TengZhao</t>
  </si>
  <si>
    <t>枣e滕电子交易平台</t>
  </si>
  <si>
    <t>枣庄市</t>
  </si>
  <si>
    <t>2年1月26天</t>
  </si>
  <si>
    <t>2年1月9天</t>
  </si>
  <si>
    <t>https://tengzhao.etrading.cn/</t>
  </si>
  <si>
    <t>C2023020032</t>
  </si>
  <si>
    <t>DQ_XinYang</t>
  </si>
  <si>
    <t>信阳专区</t>
  </si>
  <si>
    <t>信阳市</t>
  </si>
  <si>
    <t>3年1月22天</t>
  </si>
  <si>
    <t>https://xinyangweb.etrading.cn/</t>
  </si>
  <si>
    <t xml:space="preserve">C2021070003  </t>
  </si>
  <si>
    <t>DQ_ShengShi</t>
  </si>
  <si>
    <t>允舜专区</t>
  </si>
  <si>
    <t>（原盛世荣业）</t>
  </si>
  <si>
    <t>4年9月23天</t>
  </si>
  <si>
    <t>http://yunshun.etrading.cn/</t>
  </si>
  <si>
    <t>C2024070012</t>
  </si>
  <si>
    <t>DQ_HeZe</t>
  </si>
  <si>
    <t>新点e交易菏泽专区</t>
  </si>
  <si>
    <t>菏泽市</t>
  </si>
  <si>
    <t>1年11月2天</t>
  </si>
  <si>
    <t>1年10月5天</t>
  </si>
  <si>
    <t>https://heze.etrading.cn/</t>
  </si>
  <si>
    <t>C2025060008</t>
  </si>
  <si>
    <t>DQ_ZYHX</t>
  </si>
  <si>
    <t>中誉恒信专区</t>
  </si>
  <si>
    <t>9月27天</t>
  </si>
  <si>
    <t>https://zyhx.etrading.cn/</t>
  </si>
  <si>
    <t>C2025060016</t>
  </si>
  <si>
    <t>DQ_ZhongDing</t>
  </si>
  <si>
    <t>众鼎专区</t>
  </si>
  <si>
    <t>9月22天</t>
  </si>
  <si>
    <t>https://zhongding.etrading.cn/</t>
  </si>
  <si>
    <t xml:space="preserve">C2022030039 </t>
  </si>
  <si>
    <t>DQ_HeNan</t>
  </si>
  <si>
    <t>河南专区</t>
  </si>
  <si>
    <t>4年2天</t>
  </si>
  <si>
    <t>https://henan.etrading.cn/</t>
  </si>
  <si>
    <t xml:space="preserve">C2021010199 </t>
  </si>
  <si>
    <t>DQ_Shengjie</t>
  </si>
  <si>
    <t>胜捷专区</t>
  </si>
  <si>
    <t>7年0天</t>
  </si>
  <si>
    <t>6年11月12天</t>
  </si>
  <si>
    <t>http://shengjie.etrading.cn</t>
  </si>
  <si>
    <t>C2025040047</t>
  </si>
  <si>
    <t>DQ_JLGXQ</t>
  </si>
  <si>
    <t>吉林高新区阳光招采电子交易平台</t>
  </si>
  <si>
    <t>吉林省</t>
  </si>
  <si>
    <t>吉林市</t>
  </si>
  <si>
    <t>张乘</t>
  </si>
  <si>
    <t>11月14天</t>
  </si>
  <si>
    <t>10月23天</t>
  </si>
  <si>
    <t>https://jlgxq.etrading.cn/</t>
  </si>
  <si>
    <t>线下收取，未结算</t>
  </si>
  <si>
    <t>吉林_1</t>
  </si>
  <si>
    <t>C2023050049</t>
  </si>
  <si>
    <t>DQ_HenXinLN</t>
  </si>
  <si>
    <t>恒信专区-北部分专区</t>
  </si>
  <si>
    <t>大连</t>
  </si>
  <si>
    <t>2年11月5天</t>
  </si>
  <si>
    <t>2年10月3天</t>
  </si>
  <si>
    <t>https://hengxinbeibu.etrading.cn/</t>
  </si>
  <si>
    <t>C2024080022</t>
  </si>
  <si>
    <t>DQ_BECZC</t>
  </si>
  <si>
    <t>博e采招采平台</t>
  </si>
  <si>
    <t>沈阳分公司</t>
  </si>
  <si>
    <t>大连市</t>
  </si>
  <si>
    <t>姜超</t>
  </si>
  <si>
    <t>徐中华</t>
  </si>
  <si>
    <t>1年7月27天</t>
  </si>
  <si>
    <t>1年7月16天</t>
  </si>
  <si>
    <t>https://boeczc.etrading.cn/</t>
  </si>
  <si>
    <t>C2024090037</t>
  </si>
  <si>
    <t>DQ_benxi</t>
  </si>
  <si>
    <t>本溪阳光数字化招标采购平台</t>
  </si>
  <si>
    <t>马学思</t>
  </si>
  <si>
    <t>余春海</t>
  </si>
  <si>
    <t>1年5月24天</t>
  </si>
  <si>
    <t>1年5月7天</t>
  </si>
  <si>
    <t>https://bxygszhzbcg.etrading.cn/</t>
  </si>
  <si>
    <t>C2025050045</t>
  </si>
  <si>
    <t>DQ_JZZCT</t>
  </si>
  <si>
    <t>锦州国企招标采购交易平台</t>
  </si>
  <si>
    <t>锦州市</t>
  </si>
  <si>
    <t>罗聪、李明轩</t>
  </si>
  <si>
    <t>张玉龙</t>
  </si>
  <si>
    <t>10月13天</t>
  </si>
  <si>
    <t>C2026010014</t>
  </si>
  <si>
    <t>DQ_LNGCZXZQ</t>
  </si>
  <si>
    <t>辽宁工程咨询招投标交易平台</t>
  </si>
  <si>
    <t>辽宁省咨询产业集团专区</t>
  </si>
  <si>
    <t xml:space="preserve">拱占文 </t>
  </si>
  <si>
    <t>2月24天</t>
  </si>
  <si>
    <t>https://lngczxzq.etrading.cn/</t>
  </si>
  <si>
    <t>C2025040020</t>
  </si>
  <si>
    <t>DQ_ZJGJ</t>
  </si>
  <si>
    <t>中经国际新点电子交易平台专区</t>
  </si>
  <si>
    <t>https://zjgj.etrading.cn/</t>
  </si>
  <si>
    <t>C2025120020</t>
  </si>
  <si>
    <t>DQ_YGZC</t>
  </si>
  <si>
    <t>阳光招采电子交易平台专区</t>
  </si>
  <si>
    <t>4月21天</t>
  </si>
  <si>
    <t>https://ygzc.etrading.cn/</t>
  </si>
  <si>
    <t>C2025120022</t>
  </si>
  <si>
    <t>DQ_NMGZCZQ</t>
  </si>
  <si>
    <t>内蒙古招采专区</t>
  </si>
  <si>
    <t>施忠义</t>
  </si>
  <si>
    <t>范瑞蒙</t>
  </si>
  <si>
    <t>5个月31天</t>
  </si>
  <si>
    <t>http://neimenggu.etrading.cn/</t>
  </si>
  <si>
    <t>HTTP:404</t>
  </si>
  <si>
    <t>C2025120042</t>
  </si>
  <si>
    <t>DQ_EEDSEZC</t>
  </si>
  <si>
    <t>鄂尔多斯E招采交易平台</t>
  </si>
  <si>
    <t>鄂尔多斯市</t>
  </si>
  <si>
    <t>3月2天</t>
  </si>
  <si>
    <t>https://eedsezc.etrading.cn/</t>
  </si>
  <si>
    <t>C2024070040</t>
  </si>
  <si>
    <t>DQ_XuChangtzjt</t>
  </si>
  <si>
    <t>许昌投资集团招采平台</t>
  </si>
  <si>
    <t>许昌市</t>
  </si>
  <si>
    <t>3年26天</t>
  </si>
  <si>
    <t>https://xctzjt.etrading.cn/</t>
  </si>
  <si>
    <t>标证通收益，不收平台费</t>
  </si>
  <si>
    <t>C2023070027</t>
  </si>
  <si>
    <t>DQ_TengNuo</t>
  </si>
  <si>
    <t>腾诺专区</t>
  </si>
  <si>
    <t>2年8月21天</t>
  </si>
  <si>
    <t>2年8月4天</t>
  </si>
  <si>
    <t>https://tengnuo.etrading.cn/</t>
  </si>
  <si>
    <t>C2024040031;
A2024040110</t>
  </si>
  <si>
    <t>DQ_XAST</t>
  </si>
  <si>
    <t>鑫安胜通专区</t>
  </si>
  <si>
    <t>焦作市</t>
  </si>
  <si>
    <t>2年20天</t>
  </si>
  <si>
    <t>1年11月23天</t>
  </si>
  <si>
    <t>https://xast.etrading.cn/</t>
  </si>
  <si>
    <t>无营运收益</t>
  </si>
  <si>
    <t>C2024100004</t>
  </si>
  <si>
    <t>DQ_FengHui</t>
  </si>
  <si>
    <t>丰汇专区</t>
  </si>
  <si>
    <t>1年5月22天</t>
  </si>
  <si>
    <t>https://fenghui.etrading.cn/</t>
  </si>
  <si>
    <t xml:space="preserve">C2024100014 </t>
  </si>
  <si>
    <t>DQ_HNDHZQ</t>
  </si>
  <si>
    <t xml:space="preserve">	
河南大河新疆专区
</t>
  </si>
  <si>
    <t>河南大河专区</t>
  </si>
  <si>
    <t>宋振国</t>
  </si>
  <si>
    <t>https://hndhzq.etrading.cn/</t>
  </si>
  <si>
    <t>C2024100025</t>
  </si>
  <si>
    <t>DQ_huiyang</t>
  </si>
  <si>
    <t>辉阳专区</t>
  </si>
  <si>
    <t>周口市</t>
  </si>
  <si>
    <t>https://huiyang.etrading.cn/</t>
  </si>
  <si>
    <t>C2025040042</t>
  </si>
  <si>
    <t>驻马店国资采购电子招采平台</t>
  </si>
  <si>
    <t>郑州分公司</t>
  </si>
  <si>
    <t>驻马店市</t>
  </si>
  <si>
    <t>刘俊杰</t>
  </si>
  <si>
    <t>巫志宏</t>
  </si>
  <si>
    <t>11月25天</t>
  </si>
  <si>
    <t>https://zmdgqcg.etrading.cn/</t>
  </si>
  <si>
    <t>C2025060007</t>
  </si>
  <si>
    <t>DQ_BoFan</t>
  </si>
  <si>
    <t xml:space="preserve">博凡专区
</t>
  </si>
  <si>
    <t>https://bofan.etrading.cn/</t>
  </si>
  <si>
    <t>C2025060049</t>
  </si>
  <si>
    <t>DQ_NanYangZB</t>
  </si>
  <si>
    <t>南阳招标投标协会电子交易平台</t>
  </si>
  <si>
    <t>9月14天</t>
  </si>
  <si>
    <t>https://nanyangzb.etrading.cn/</t>
  </si>
  <si>
    <t>C2025060050</t>
  </si>
  <si>
    <t>DQ_RongZC</t>
  </si>
  <si>
    <t>融招采专区</t>
  </si>
  <si>
    <t>漯河市</t>
  </si>
  <si>
    <t>9月13天</t>
  </si>
  <si>
    <t>https://rongzc.etrading.cn/</t>
  </si>
  <si>
    <t>DQ_XinZeZC</t>
  </si>
  <si>
    <t>信则招标采购电子交易平台</t>
  </si>
  <si>
    <t>9月8天</t>
  </si>
  <si>
    <t>C2025090021</t>
  </si>
  <si>
    <t>DQ_JZSQYSPT</t>
  </si>
  <si>
    <t>焦作市全要素阳光交易平台</t>
  </si>
  <si>
    <t>6月21天</t>
  </si>
  <si>
    <t>5月8天</t>
  </si>
  <si>
    <t>https://jiaozuoygjy.etrading.cn/</t>
  </si>
  <si>
    <t>成长期无收益(黄色);成长期收益低效(橙色)</t>
  </si>
  <si>
    <t>C2025120041;A2025120162</t>
  </si>
  <si>
    <t>DQ_SMXDLZQ</t>
  </si>
  <si>
    <t>新起点招标采购平台</t>
  </si>
  <si>
    <t>三门峡市</t>
  </si>
  <si>
    <t>周心宇</t>
  </si>
  <si>
    <t>华莹</t>
  </si>
  <si>
    <t>3月14天</t>
  </si>
  <si>
    <t>成长期无收益(黄色)</t>
  </si>
  <si>
    <t xml:space="preserve">C2020030031 </t>
  </si>
  <si>
    <t>DQ_HuaSheng</t>
  </si>
  <si>
    <t>华胜专区</t>
  </si>
  <si>
    <t>罗永建</t>
  </si>
  <si>
    <t>6年1月0天</t>
  </si>
  <si>
    <t>5年11月0天</t>
  </si>
  <si>
    <t>http://huasheng.etrading.cn</t>
  </si>
  <si>
    <t>C2021050021</t>
  </si>
  <si>
    <t>DQ_HengDa</t>
  </si>
  <si>
    <t>兴焱专区</t>
  </si>
  <si>
    <t>5年9月10天</t>
  </si>
  <si>
    <t>http://xingyan.etrading.cn</t>
  </si>
  <si>
    <t>C2021080031</t>
  </si>
  <si>
    <t>DQ_JingRun</t>
  </si>
  <si>
    <t>景润专区</t>
  </si>
  <si>
    <t>恩施土家族苗族自治州</t>
  </si>
  <si>
    <t>4年8月0天</t>
  </si>
  <si>
    <t>4年7月19天</t>
  </si>
  <si>
    <t>http://jingrun.etrading.cn</t>
  </si>
  <si>
    <t>DQ_XiangYang</t>
  </si>
  <si>
    <t>襄阳专区</t>
  </si>
  <si>
    <t>襄阳市</t>
  </si>
  <si>
    <t>吴智恒</t>
  </si>
  <si>
    <t>3年5月6天</t>
  </si>
  <si>
    <t>3年3月18天</t>
  </si>
  <si>
    <t>http://xiangyang.etrading.cn/</t>
  </si>
  <si>
    <t>DQ_TongShanXian</t>
  </si>
  <si>
    <t>通山县分散采购电子交易平台</t>
  </si>
  <si>
    <t>通山县专区</t>
  </si>
  <si>
    <t>恩施市</t>
  </si>
  <si>
    <t>冯润波</t>
  </si>
  <si>
    <t>2年6月14天</t>
  </si>
  <si>
    <t>2年5月25天</t>
  </si>
  <si>
    <t>https://tsxfscg.etrading.cn/</t>
  </si>
  <si>
    <t>DQ_MaCheng</t>
  </si>
  <si>
    <t>麻城专区</t>
  </si>
  <si>
    <t>黄冈市</t>
  </si>
  <si>
    <t>郑勇</t>
  </si>
  <si>
    <t>2年2月28天</t>
  </si>
  <si>
    <t>2年1月10天</t>
  </si>
  <si>
    <t xml:space="preserve">C2024010036 </t>
  </si>
  <si>
    <t>DQ_HBXE</t>
  </si>
  <si>
    <t>湖北省小额工程电子招标采购交易平台</t>
  </si>
  <si>
    <t>胡斌斌</t>
  </si>
  <si>
    <t>2年2月1天</t>
  </si>
  <si>
    <t>https://hjzc.etrading.cn/</t>
  </si>
  <si>
    <t>DQ_XnZfCg</t>
  </si>
  <si>
    <t>咸宁市政府采购电子交易平台</t>
  </si>
  <si>
    <t>白建业</t>
  </si>
  <si>
    <t>2年28天</t>
  </si>
  <si>
    <t>https://xnszfcg.etrading.cn/</t>
  </si>
  <si>
    <t>DQ_GGLJS</t>
  </si>
  <si>
    <t>光谷联交所电子交易平台</t>
  </si>
  <si>
    <t>2年24天</t>
  </si>
  <si>
    <t>2年0天</t>
  </si>
  <si>
    <t>https://guanggu.etrading.cn/</t>
  </si>
  <si>
    <t>C2024110002</t>
  </si>
  <si>
    <t>DQ_HBJXX</t>
  </si>
  <si>
    <t>湖北津信项管理专区</t>
  </si>
  <si>
    <t>黄硕</t>
  </si>
  <si>
    <t>姚建洋</t>
  </si>
  <si>
    <t>1年4月20天</t>
  </si>
  <si>
    <t>1年3月2天</t>
  </si>
  <si>
    <t>https://hbjxx.etrading.cn/</t>
  </si>
  <si>
    <t>C2025010008;
A2025010119</t>
  </si>
  <si>
    <t>中织供应链平台</t>
  </si>
  <si>
    <t>仙桃</t>
  </si>
  <si>
    <t>陆化朋</t>
  </si>
  <si>
    <t>陈强,王寅迟</t>
  </si>
  <si>
    <t>1年2月29天</t>
  </si>
  <si>
    <t>1年2月11天</t>
  </si>
  <si>
    <t>https://zzgylpt.etrading.cn/</t>
  </si>
  <si>
    <t>A2025060089;
C2025110012</t>
  </si>
  <si>
    <t>DQ_XLCFZQ</t>
  </si>
  <si>
    <t>湖北西陵城发集团专区</t>
  </si>
  <si>
    <t>何雪威</t>
  </si>
  <si>
    <t>解清烽</t>
  </si>
  <si>
    <t>9月29天</t>
  </si>
  <si>
    <t>8月22天</t>
  </si>
  <si>
    <t>https://xlcf.etrading.cn/</t>
  </si>
  <si>
    <t>已收取7w建设费</t>
  </si>
  <si>
    <t>C2025080030</t>
  </si>
  <si>
    <t>DQ_SuiZhou</t>
  </si>
  <si>
    <t>随州专区</t>
  </si>
  <si>
    <t>随州市</t>
  </si>
  <si>
    <t>荣辰辰</t>
  </si>
  <si>
    <t>陈强、李潮</t>
  </si>
  <si>
    <t>7月21天</t>
  </si>
  <si>
    <t>https://suizhou.etrading.cn/</t>
  </si>
  <si>
    <t>C2025100014</t>
  </si>
  <si>
    <t>DQ_JMGXZQ</t>
  </si>
  <si>
    <t>荆门高新公司电子交易平台</t>
  </si>
  <si>
    <t>5月12天</t>
  </si>
  <si>
    <t>4月18天</t>
  </si>
  <si>
    <t>http://jmgxzq.etrading.cn/</t>
  </si>
  <si>
    <t>C2025120053</t>
  </si>
  <si>
    <t>DQ_LCZBCG</t>
  </si>
  <si>
    <t>利川市招标/采购（非政府采购）电子交易平台</t>
  </si>
  <si>
    <t>利川市</t>
  </si>
  <si>
    <t>3月9天</t>
  </si>
  <si>
    <t>https://lczbcg.etrading.cn/</t>
  </si>
  <si>
    <t>C2026010017</t>
  </si>
  <si>
    <t>DQ_XNGTZQ</t>
  </si>
  <si>
    <t>咸宁高投电子交易平台</t>
  </si>
  <si>
    <t xml:space="preserve">范瑞蒙 </t>
  </si>
  <si>
    <t>2月18天</t>
  </si>
  <si>
    <t>1月19天</t>
  </si>
  <si>
    <t>https://xngtzq.etrading.cn/</t>
  </si>
  <si>
    <t>C2026010038</t>
  </si>
  <si>
    <t>DQ_XCSZHZB</t>
  </si>
  <si>
    <t>湖北香城资产运营有限公司</t>
  </si>
  <si>
    <t>香城公司数智化电子招投标采购平台</t>
  </si>
  <si>
    <t>2月10天</t>
  </si>
  <si>
    <t>1月4天</t>
  </si>
  <si>
    <t>https://hbxczczq.etrading.cn/</t>
  </si>
  <si>
    <t>C2026020004</t>
  </si>
  <si>
    <t>DQ_SYXCTZQ</t>
  </si>
  <si>
    <t>沙洋建投招采平台</t>
  </si>
  <si>
    <t>高建涛</t>
  </si>
  <si>
    <t>1月26天</t>
  </si>
  <si>
    <t>https://syxdzzc.etrading.cn/</t>
  </si>
  <si>
    <t>C2025090047</t>
  </si>
  <si>
    <t>庭州嘉泽工程招投标平台</t>
  </si>
  <si>
    <t>昌吉市国控集团平台</t>
  </si>
  <si>
    <t>6月6天</t>
  </si>
  <si>
    <t>C2025120025</t>
  </si>
  <si>
    <t>DQ_Hamihengrui</t>
  </si>
  <si>
    <t>哈密市恒瑞建设工程有限责任公司电子招采平台</t>
  </si>
  <si>
    <t>3月17天</t>
  </si>
  <si>
    <t>https://hamihengrui.etrading.cn/</t>
  </si>
  <si>
    <t>线上分开划转</t>
  </si>
  <si>
    <t>C2026020029</t>
  </si>
  <si>
    <t>DQ_QDnmytz</t>
  </si>
  <si>
    <t>奇鼎农牧业投资有限责任公司招采平台</t>
  </si>
  <si>
    <t>彭明松</t>
  </si>
  <si>
    <t>1月7天</t>
  </si>
  <si>
    <t>23天</t>
  </si>
  <si>
    <t>https://qdnmyzc.etrading.cn/</t>
  </si>
  <si>
    <t>C202201004</t>
  </si>
  <si>
    <t>DQ_WeiFang</t>
  </si>
  <si>
    <t>潍坊专区</t>
  </si>
  <si>
    <t>潍坊市</t>
  </si>
  <si>
    <t>4年2月22天</t>
  </si>
  <si>
    <t>4年2月11天</t>
  </si>
  <si>
    <t>http://weifang.etrading.cn/</t>
  </si>
  <si>
    <t>C2022120062</t>
  </si>
  <si>
    <t>DQ_DongYin</t>
  </si>
  <si>
    <t>东营专区</t>
  </si>
  <si>
    <t>东营市</t>
  </si>
  <si>
    <t>3年8月4天</t>
  </si>
  <si>
    <t>3年6月4天</t>
  </si>
  <si>
    <t>http://dongying.etrading.cn/</t>
  </si>
  <si>
    <t>C2022100016</t>
  </si>
  <si>
    <t>DQ_WeiZe</t>
  </si>
  <si>
    <t>泰易采专区</t>
  </si>
  <si>
    <t>维泽专区</t>
  </si>
  <si>
    <t>泰安市</t>
  </si>
  <si>
    <t>3年7月3天</t>
  </si>
  <si>
    <t>3年5月21天</t>
  </si>
  <si>
    <t>https://taiyicai.etrading.cn/</t>
  </si>
  <si>
    <t>C2022120027</t>
  </si>
  <si>
    <t>DQ_JiaXin</t>
  </si>
  <si>
    <t>嘉信专区</t>
  </si>
  <si>
    <t>青岛市</t>
  </si>
  <si>
    <t>3年4月18天</t>
  </si>
  <si>
    <t>3年3月20天</t>
  </si>
  <si>
    <t>http://jiaxin.etrading.cn/</t>
  </si>
  <si>
    <t>DQ_QingDao</t>
  </si>
  <si>
    <t>青岛专区</t>
  </si>
  <si>
    <t>https://qingdao.etrading.cn/</t>
  </si>
  <si>
    <t xml:space="preserve">C2023110056 </t>
  </si>
  <si>
    <t>DQ_JingCheng</t>
  </si>
  <si>
    <t>景程专区</t>
  </si>
  <si>
    <t>聊城市</t>
  </si>
  <si>
    <t>2年4月8天</t>
  </si>
  <si>
    <t>https://jingcheng.etrading.cn/</t>
  </si>
  <si>
    <t>DQ_shandong</t>
  </si>
  <si>
    <t>新点电子交易平台山东专区</t>
  </si>
  <si>
    <t>济南市</t>
  </si>
  <si>
    <t>1年5月21天</t>
  </si>
  <si>
    <t>https://shandong.etrading.cn/</t>
  </si>
  <si>
    <t>C2024110036</t>
  </si>
  <si>
    <t>DQ_HuaChenZhongDa</t>
  </si>
  <si>
    <t>华辰中大电子交易平台</t>
  </si>
  <si>
    <t xml:space="preserve">周皓 </t>
  </si>
  <si>
    <t>1年5月14天</t>
  </si>
  <si>
    <t>https://hczd.etrading.cn/</t>
  </si>
  <si>
    <t>C2025100016</t>
  </si>
  <si>
    <t>DQ_HZ</t>
  </si>
  <si>
    <t>菏泽专区</t>
  </si>
  <si>
    <t>徐振荣</t>
  </si>
  <si>
    <t>于建源</t>
  </si>
  <si>
    <t>http://hezezq.etrading.cn/</t>
  </si>
  <si>
    <t>C2025120004</t>
  </si>
  <si>
    <t>DQ_SDBXZQ</t>
  </si>
  <si>
    <t>山东鸿集电子交易平台</t>
  </si>
  <si>
    <t>施佳浩</t>
  </si>
  <si>
    <t>5月15天</t>
  </si>
  <si>
    <t>http://sdhj.etrading.cn</t>
  </si>
  <si>
    <t>C2025120045</t>
  </si>
  <si>
    <t>DQ_SDHZZQ</t>
  </si>
  <si>
    <t>山东华正电子交易平台</t>
  </si>
  <si>
    <t>陈涛</t>
  </si>
  <si>
    <t>4月13天</t>
  </si>
  <si>
    <t>https://sdhzzq.etrading.cn/</t>
  </si>
  <si>
    <t>C2021080028</t>
  </si>
  <si>
    <t>DQ_ZaoZhuang</t>
  </si>
  <si>
    <t>五易数云</t>
  </si>
  <si>
    <t>4年7月5天</t>
  </si>
  <si>
    <t>http://wysy.etrading.cn/</t>
  </si>
  <si>
    <t>C2025120046</t>
  </si>
  <si>
    <t>DQ_sdak</t>
  </si>
  <si>
    <t>山东安康电子交易平台</t>
  </si>
  <si>
    <t>3月28天</t>
  </si>
  <si>
    <t>https://sdak.etrading.cn/</t>
  </si>
  <si>
    <t>C2026010026</t>
  </si>
  <si>
    <t>DQ_ZJXAZQZQ</t>
  </si>
  <si>
    <t>中技兴安电子交易平台</t>
  </si>
  <si>
    <t>于建源/庞鑫</t>
  </si>
  <si>
    <t>3月10天</t>
  </si>
  <si>
    <t>https://zjxapt.etrading.cn</t>
  </si>
  <si>
    <t>C2026010027</t>
  </si>
  <si>
    <t>DQ_sdtx</t>
  </si>
  <si>
    <t>山东同信电子交易平台</t>
  </si>
  <si>
    <t>杨广磊</t>
  </si>
  <si>
    <t>张丕振</t>
  </si>
  <si>
    <t>https://sdtx.etrading.cn/</t>
  </si>
  <si>
    <t>C2026010025</t>
  </si>
  <si>
    <t>DQ_SDYLPT</t>
  </si>
  <si>
    <t>山东悦龙电子交易平台</t>
  </si>
  <si>
    <t>2月28天</t>
  </si>
  <si>
    <t>https://sdylpt.etrading.cn/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</si>
</sst>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hh:mm:ss"/>
  </numFmts>
  <fonts count="21">
    <font>
      <sz val="11"/>
      <color theme="1"/>
      <name val="宋体"/>
      <charset val="134"/>
      <scheme val="minor"/>
    </font>
    <font>
      <sz val="11"/>
      <color rgb="FF00000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176" fontId="0" fillId="0" borderId="0" xfId="0" applyNumberFormat="1"/>
    <xf numFmtId="9" fontId="0" fillId="0" borderId="0" xfId="3" applyAlignment="1"/>
    <xf numFmtId="0" fontId="1"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129"/>
  <sheetViews>
    <sheetView tabSelected="1" workbookViewId="0">
      <pane ySplit="1" topLeftCell="A2" activePane="bottomLeft" state="frozen"/>
      <selection/>
      <selection pane="bottomLeft" activeCell="A93" sqref="$A93:$XFD93"/>
    </sheetView>
  </sheetViews>
  <sheetFormatPr defaultColWidth="9" defaultRowHeight="14.1"/>
  <cols>
    <col min="1" max="1" width="26.7837837837838" customWidth="1"/>
    <col min="2" max="2" width="21.8648648648649" customWidth="1"/>
    <col min="3" max="3" width="28.027027027027" customWidth="1"/>
    <col min="4" max="4" width="17.3693693693694" customWidth="1"/>
    <col min="7" max="7" width="23.027027027027" customWidth="1"/>
    <col min="15" max="15" width="21.8648648648649"/>
    <col min="16" max="16" width="17.9099099099099" customWidth="1"/>
    <col min="17" max="17" width="21.8648648648649"/>
    <col min="22" max="22" width="10.5495495495495"/>
    <col min="23" max="23" width="15.4414414414414" customWidth="1"/>
    <col min="26" max="26" width="9.46846846846847"/>
    <col min="27" max="27" width="12.7837837837838"/>
    <col min="28" max="28" width="9.46846846846847"/>
  </cols>
  <sheetData>
    <row r="1" spans="1:38">
      <c r="A1" t="s">
        <v>0</v>
      </c>
      <c r="B1" t="s">
        <v>1</v>
      </c>
      <c r="C1" t="s">
        <v>2</v>
      </c>
      <c r="D1" t="s">
        <v>3</v>
      </c>
      <c r="E1" t="s">
        <v>2</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row>
    <row r="2" spans="1:38">
      <c r="A2" t="s">
        <v>37</v>
      </c>
      <c r="B2" t="s">
        <v>38</v>
      </c>
      <c r="C2" t="s">
        <v>39</v>
      </c>
      <c r="D2" t="s">
        <v>40</v>
      </c>
      <c r="E2" t="s">
        <v>41</v>
      </c>
      <c r="F2" t="s">
        <v>42</v>
      </c>
      <c r="G2" t="s">
        <v>43</v>
      </c>
      <c r="H2" t="s">
        <v>44</v>
      </c>
      <c r="I2" t="s">
        <v>45</v>
      </c>
      <c r="J2" t="s">
        <v>46</v>
      </c>
      <c r="K2" t="s">
        <v>40</v>
      </c>
      <c r="L2" t="s">
        <v>47</v>
      </c>
      <c r="M2" t="s">
        <v>48</v>
      </c>
      <c r="N2" t="s">
        <v>49</v>
      </c>
      <c r="O2" s="1">
        <v>44834</v>
      </c>
      <c r="P2" t="s">
        <v>50</v>
      </c>
      <c r="Q2" s="1">
        <v>44884</v>
      </c>
      <c r="R2" t="s">
        <v>51</v>
      </c>
      <c r="S2" t="s">
        <v>52</v>
      </c>
      <c r="T2" t="s">
        <v>40</v>
      </c>
      <c r="U2" t="s">
        <v>40</v>
      </c>
      <c r="V2">
        <v>3300</v>
      </c>
      <c r="W2" t="s">
        <v>53</v>
      </c>
      <c r="X2">
        <v>0</v>
      </c>
      <c r="Y2">
        <v>0</v>
      </c>
      <c r="Z2">
        <v>913.15</v>
      </c>
      <c r="AA2" s="2">
        <f t="shared" ref="AA2:AA65" si="0">V2/Z2</f>
        <v>3.61386409680775</v>
      </c>
      <c r="AB2" t="s">
        <v>40</v>
      </c>
      <c r="AC2" t="s">
        <v>54</v>
      </c>
      <c r="AD2" t="s">
        <v>40</v>
      </c>
      <c r="AE2" t="s">
        <v>55</v>
      </c>
      <c r="AF2" t="s">
        <v>40</v>
      </c>
      <c r="AG2" t="s">
        <v>40</v>
      </c>
      <c r="AH2" t="s">
        <v>40</v>
      </c>
      <c r="AI2" t="s">
        <v>40</v>
      </c>
      <c r="AJ2" t="s">
        <v>40</v>
      </c>
      <c r="AK2" t="s">
        <v>40</v>
      </c>
      <c r="AL2" t="s">
        <v>40</v>
      </c>
    </row>
    <row r="3" spans="1:38">
      <c r="A3" t="s">
        <v>56</v>
      </c>
      <c r="B3" t="s">
        <v>57</v>
      </c>
      <c r="C3" t="s">
        <v>58</v>
      </c>
      <c r="D3" t="s">
        <v>40</v>
      </c>
      <c r="E3" t="s">
        <v>40</v>
      </c>
      <c r="F3" t="s">
        <v>59</v>
      </c>
      <c r="G3" t="s">
        <v>43</v>
      </c>
      <c r="H3" t="s">
        <v>44</v>
      </c>
      <c r="I3" t="s">
        <v>60</v>
      </c>
      <c r="J3" t="s">
        <v>46</v>
      </c>
      <c r="K3" t="s">
        <v>40</v>
      </c>
      <c r="L3" t="s">
        <v>47</v>
      </c>
      <c r="M3" t="s">
        <v>48</v>
      </c>
      <c r="N3" t="s">
        <v>61</v>
      </c>
      <c r="O3" s="1">
        <v>45443</v>
      </c>
      <c r="P3" t="s">
        <v>62</v>
      </c>
      <c r="Q3" s="1">
        <v>45477</v>
      </c>
      <c r="R3" t="s">
        <v>63</v>
      </c>
      <c r="S3" t="s">
        <v>52</v>
      </c>
      <c r="T3" t="s">
        <v>40</v>
      </c>
      <c r="U3" t="s">
        <v>40</v>
      </c>
      <c r="V3">
        <v>2520</v>
      </c>
      <c r="W3" t="s">
        <v>64</v>
      </c>
      <c r="X3">
        <v>0</v>
      </c>
      <c r="Y3">
        <v>0</v>
      </c>
      <c r="Z3">
        <v>9644.25</v>
      </c>
      <c r="AA3" s="2">
        <f t="shared" si="0"/>
        <v>0.261295590636908</v>
      </c>
      <c r="AB3" t="s">
        <v>40</v>
      </c>
      <c r="AC3" t="s">
        <v>54</v>
      </c>
      <c r="AD3" t="s">
        <v>40</v>
      </c>
      <c r="AE3" t="s">
        <v>55</v>
      </c>
      <c r="AF3" t="s">
        <v>40</v>
      </c>
      <c r="AG3" t="s">
        <v>40</v>
      </c>
      <c r="AH3" t="s">
        <v>40</v>
      </c>
      <c r="AI3" t="s">
        <v>40</v>
      </c>
      <c r="AJ3" t="s">
        <v>40</v>
      </c>
      <c r="AK3" t="s">
        <v>40</v>
      </c>
      <c r="AL3" t="s">
        <v>40</v>
      </c>
    </row>
    <row r="4" spans="1:38">
      <c r="A4" t="s">
        <v>65</v>
      </c>
      <c r="B4" t="s">
        <v>66</v>
      </c>
      <c r="C4" t="s">
        <v>67</v>
      </c>
      <c r="D4" t="s">
        <v>40</v>
      </c>
      <c r="E4" t="s">
        <v>40</v>
      </c>
      <c r="F4" t="s">
        <v>59</v>
      </c>
      <c r="G4" t="s">
        <v>43</v>
      </c>
      <c r="H4" t="s">
        <v>44</v>
      </c>
      <c r="I4" t="s">
        <v>68</v>
      </c>
      <c r="J4" t="s">
        <v>46</v>
      </c>
      <c r="K4" t="s">
        <v>40</v>
      </c>
      <c r="L4" t="s">
        <v>47</v>
      </c>
      <c r="M4" t="s">
        <v>69</v>
      </c>
      <c r="N4" t="s">
        <v>49</v>
      </c>
      <c r="O4" s="1">
        <v>45733</v>
      </c>
      <c r="P4" t="s">
        <v>70</v>
      </c>
      <c r="Q4" s="1">
        <v>45762</v>
      </c>
      <c r="R4" t="s">
        <v>71</v>
      </c>
      <c r="S4" t="s">
        <v>52</v>
      </c>
      <c r="T4" t="s">
        <v>40</v>
      </c>
      <c r="U4" t="s">
        <v>40</v>
      </c>
      <c r="V4">
        <v>5670</v>
      </c>
      <c r="W4" t="s">
        <v>72</v>
      </c>
      <c r="X4">
        <v>1</v>
      </c>
      <c r="Y4">
        <v>0</v>
      </c>
      <c r="Z4">
        <v>31734.08</v>
      </c>
      <c r="AA4" s="2">
        <f t="shared" si="0"/>
        <v>0.178672266534905</v>
      </c>
      <c r="AB4">
        <v>2285.57</v>
      </c>
      <c r="AC4" t="s">
        <v>54</v>
      </c>
      <c r="AD4" t="s">
        <v>40</v>
      </c>
      <c r="AE4" t="s">
        <v>55</v>
      </c>
      <c r="AF4" t="s">
        <v>40</v>
      </c>
      <c r="AG4" t="s">
        <v>40</v>
      </c>
      <c r="AH4" t="s">
        <v>40</v>
      </c>
      <c r="AI4" t="s">
        <v>40</v>
      </c>
      <c r="AJ4" t="s">
        <v>40</v>
      </c>
      <c r="AK4" t="s">
        <v>40</v>
      </c>
      <c r="AL4" t="s">
        <v>40</v>
      </c>
    </row>
    <row r="5" spans="1:38">
      <c r="A5" t="s">
        <v>73</v>
      </c>
      <c r="B5" t="s">
        <v>74</v>
      </c>
      <c r="C5" t="s">
        <v>75</v>
      </c>
      <c r="D5" t="s">
        <v>40</v>
      </c>
      <c r="E5" t="s">
        <v>40</v>
      </c>
      <c r="F5" t="s">
        <v>59</v>
      </c>
      <c r="G5" t="s">
        <v>43</v>
      </c>
      <c r="H5" t="s">
        <v>44</v>
      </c>
      <c r="I5" t="s">
        <v>68</v>
      </c>
      <c r="J5" t="s">
        <v>46</v>
      </c>
      <c r="K5" t="s">
        <v>40</v>
      </c>
      <c r="L5" t="s">
        <v>47</v>
      </c>
      <c r="M5" t="s">
        <v>69</v>
      </c>
      <c r="N5" t="s">
        <v>49</v>
      </c>
      <c r="O5" s="1">
        <v>45742</v>
      </c>
      <c r="P5" t="s">
        <v>76</v>
      </c>
      <c r="Q5" s="1">
        <v>45793</v>
      </c>
      <c r="R5" t="s">
        <v>77</v>
      </c>
      <c r="S5" t="s">
        <v>52</v>
      </c>
      <c r="T5" t="s">
        <v>40</v>
      </c>
      <c r="U5" t="s">
        <v>40</v>
      </c>
      <c r="V5" t="s">
        <v>78</v>
      </c>
      <c r="W5" t="s">
        <v>79</v>
      </c>
      <c r="X5">
        <v>0</v>
      </c>
      <c r="Y5">
        <v>0</v>
      </c>
      <c r="Z5">
        <v>16293.84</v>
      </c>
      <c r="AA5" s="2" t="e">
        <f t="shared" si="0"/>
        <v>#VALUE!</v>
      </c>
      <c r="AB5">
        <v>1417.89</v>
      </c>
      <c r="AC5" t="s">
        <v>54</v>
      </c>
      <c r="AD5" t="s">
        <v>40</v>
      </c>
      <c r="AE5" t="s">
        <v>55</v>
      </c>
      <c r="AF5" t="s">
        <v>40</v>
      </c>
      <c r="AG5" t="s">
        <v>40</v>
      </c>
      <c r="AH5" t="s">
        <v>40</v>
      </c>
      <c r="AI5" t="s">
        <v>40</v>
      </c>
      <c r="AJ5" t="s">
        <v>40</v>
      </c>
      <c r="AK5" t="s">
        <v>40</v>
      </c>
      <c r="AL5" t="s">
        <v>40</v>
      </c>
    </row>
    <row r="6" spans="1:38">
      <c r="A6" t="s">
        <v>80</v>
      </c>
      <c r="B6" t="s">
        <v>81</v>
      </c>
      <c r="C6" t="s">
        <v>82</v>
      </c>
      <c r="D6" t="s">
        <v>40</v>
      </c>
      <c r="E6" t="s">
        <v>40</v>
      </c>
      <c r="F6" t="s">
        <v>42</v>
      </c>
      <c r="G6" t="s">
        <v>43</v>
      </c>
      <c r="H6" t="s">
        <v>44</v>
      </c>
      <c r="I6" t="s">
        <v>68</v>
      </c>
      <c r="J6" t="s">
        <v>46</v>
      </c>
      <c r="K6" t="s">
        <v>83</v>
      </c>
      <c r="L6" t="s">
        <v>84</v>
      </c>
      <c r="M6" t="s">
        <v>69</v>
      </c>
      <c r="N6" t="s">
        <v>61</v>
      </c>
      <c r="O6" s="1">
        <v>45756</v>
      </c>
      <c r="P6" t="s">
        <v>85</v>
      </c>
      <c r="Q6" s="1">
        <v>45789</v>
      </c>
      <c r="R6" t="s">
        <v>86</v>
      </c>
      <c r="S6" t="s">
        <v>52</v>
      </c>
      <c r="T6" t="s">
        <v>40</v>
      </c>
      <c r="U6" t="s">
        <v>40</v>
      </c>
      <c r="V6">
        <v>900</v>
      </c>
      <c r="W6" t="s">
        <v>87</v>
      </c>
      <c r="X6">
        <v>2</v>
      </c>
      <c r="Y6">
        <v>0</v>
      </c>
      <c r="Z6">
        <v>21617.44</v>
      </c>
      <c r="AA6" s="2">
        <f t="shared" si="0"/>
        <v>0.0416330518322244</v>
      </c>
      <c r="AB6">
        <v>1602.14</v>
      </c>
      <c r="AC6" t="s">
        <v>54</v>
      </c>
      <c r="AD6" t="s">
        <v>40</v>
      </c>
      <c r="AE6" t="s">
        <v>55</v>
      </c>
      <c r="AF6" t="s">
        <v>40</v>
      </c>
      <c r="AG6" t="s">
        <v>40</v>
      </c>
      <c r="AH6" t="s">
        <v>40</v>
      </c>
      <c r="AI6" t="s">
        <v>40</v>
      </c>
      <c r="AJ6" t="s">
        <v>40</v>
      </c>
      <c r="AK6" t="s">
        <v>40</v>
      </c>
      <c r="AL6" t="s">
        <v>40</v>
      </c>
    </row>
    <row r="7" spans="1:38">
      <c r="A7" t="s">
        <v>88</v>
      </c>
      <c r="B7" t="s">
        <v>89</v>
      </c>
      <c r="C7" t="s">
        <v>90</v>
      </c>
      <c r="D7" t="s">
        <v>40</v>
      </c>
      <c r="E7" t="s">
        <v>40</v>
      </c>
      <c r="F7" t="s">
        <v>59</v>
      </c>
      <c r="G7" t="s">
        <v>43</v>
      </c>
      <c r="H7" t="s">
        <v>44</v>
      </c>
      <c r="I7" t="s">
        <v>91</v>
      </c>
      <c r="J7" t="s">
        <v>46</v>
      </c>
      <c r="K7" t="s">
        <v>40</v>
      </c>
      <c r="L7" t="s">
        <v>84</v>
      </c>
      <c r="M7" t="s">
        <v>48</v>
      </c>
      <c r="N7" t="s">
        <v>49</v>
      </c>
      <c r="O7" s="1">
        <v>45867</v>
      </c>
      <c r="P7" t="s">
        <v>92</v>
      </c>
      <c r="Q7" s="1">
        <v>45891</v>
      </c>
      <c r="R7" t="s">
        <v>93</v>
      </c>
      <c r="S7" t="s">
        <v>52</v>
      </c>
      <c r="T7" t="s">
        <v>40</v>
      </c>
      <c r="U7" t="s">
        <v>40</v>
      </c>
      <c r="V7">
        <v>4470</v>
      </c>
      <c r="W7" t="s">
        <v>94</v>
      </c>
      <c r="X7">
        <v>0</v>
      </c>
      <c r="Y7">
        <v>0</v>
      </c>
      <c r="Z7">
        <v>25514.17</v>
      </c>
      <c r="AA7" s="2">
        <f t="shared" si="0"/>
        <v>0.175196763210404</v>
      </c>
      <c r="AB7">
        <v>3883.96</v>
      </c>
      <c r="AC7" t="s">
        <v>54</v>
      </c>
      <c r="AD7" t="s">
        <v>40</v>
      </c>
      <c r="AE7" t="s">
        <v>55</v>
      </c>
      <c r="AF7" t="s">
        <v>40</v>
      </c>
      <c r="AG7" t="s">
        <v>40</v>
      </c>
      <c r="AH7" t="s">
        <v>40</v>
      </c>
      <c r="AI7" t="s">
        <v>40</v>
      </c>
      <c r="AJ7" t="s">
        <v>40</v>
      </c>
      <c r="AK7" t="s">
        <v>40</v>
      </c>
      <c r="AL7" t="s">
        <v>40</v>
      </c>
    </row>
    <row r="8" spans="1:38">
      <c r="A8" t="s">
        <v>95</v>
      </c>
      <c r="B8" t="s">
        <v>96</v>
      </c>
      <c r="C8" t="s">
        <v>97</v>
      </c>
      <c r="D8" t="s">
        <v>40</v>
      </c>
      <c r="E8" t="s">
        <v>40</v>
      </c>
      <c r="F8" t="s">
        <v>42</v>
      </c>
      <c r="G8" t="s">
        <v>43</v>
      </c>
      <c r="H8" t="s">
        <v>44</v>
      </c>
      <c r="I8" t="s">
        <v>40</v>
      </c>
      <c r="J8" t="s">
        <v>40</v>
      </c>
      <c r="K8" t="s">
        <v>40</v>
      </c>
      <c r="L8" t="s">
        <v>84</v>
      </c>
      <c r="M8" t="s">
        <v>69</v>
      </c>
      <c r="N8" t="s">
        <v>40</v>
      </c>
      <c r="O8" s="1">
        <v>45890</v>
      </c>
      <c r="P8" t="s">
        <v>98</v>
      </c>
      <c r="Q8" t="s">
        <v>40</v>
      </c>
      <c r="R8" t="s">
        <v>40</v>
      </c>
      <c r="S8" t="s">
        <v>99</v>
      </c>
      <c r="T8" t="s">
        <v>40</v>
      </c>
      <c r="U8" t="s">
        <v>40</v>
      </c>
      <c r="V8" t="s">
        <v>40</v>
      </c>
      <c r="W8" t="s">
        <v>40</v>
      </c>
      <c r="X8" t="s">
        <v>40</v>
      </c>
      <c r="Y8" t="s">
        <v>40</v>
      </c>
      <c r="Z8">
        <v>7694.07</v>
      </c>
      <c r="AA8" s="2" t="e">
        <f t="shared" si="0"/>
        <v>#VALUE!</v>
      </c>
      <c r="AB8" t="s">
        <v>40</v>
      </c>
      <c r="AC8" t="s">
        <v>100</v>
      </c>
      <c r="AD8" t="s">
        <v>40</v>
      </c>
      <c r="AE8" t="s">
        <v>55</v>
      </c>
      <c r="AF8" t="s">
        <v>40</v>
      </c>
      <c r="AG8" t="s">
        <v>40</v>
      </c>
      <c r="AH8" t="s">
        <v>40</v>
      </c>
      <c r="AI8" t="s">
        <v>40</v>
      </c>
      <c r="AJ8" t="s">
        <v>40</v>
      </c>
      <c r="AK8" t="s">
        <v>40</v>
      </c>
      <c r="AL8" t="s">
        <v>40</v>
      </c>
    </row>
    <row r="9" spans="1:38">
      <c r="A9" t="s">
        <v>101</v>
      </c>
      <c r="B9" t="s">
        <v>102</v>
      </c>
      <c r="C9" t="s">
        <v>103</v>
      </c>
      <c r="D9" t="s">
        <v>40</v>
      </c>
      <c r="E9" t="s">
        <v>104</v>
      </c>
      <c r="F9" t="s">
        <v>42</v>
      </c>
      <c r="G9" t="s">
        <v>105</v>
      </c>
      <c r="H9" t="s">
        <v>106</v>
      </c>
      <c r="I9" t="s">
        <v>107</v>
      </c>
      <c r="J9" t="s">
        <v>46</v>
      </c>
      <c r="K9" t="s">
        <v>40</v>
      </c>
      <c r="L9" t="s">
        <v>108</v>
      </c>
      <c r="M9" t="s">
        <v>109</v>
      </c>
      <c r="N9" t="s">
        <v>40</v>
      </c>
      <c r="O9" s="1">
        <v>45706</v>
      </c>
      <c r="P9" t="s">
        <v>110</v>
      </c>
      <c r="Q9" s="1">
        <v>45719</v>
      </c>
      <c r="R9" t="s">
        <v>111</v>
      </c>
      <c r="S9" t="s">
        <v>52</v>
      </c>
      <c r="T9" t="s">
        <v>40</v>
      </c>
      <c r="U9" t="s">
        <v>40</v>
      </c>
      <c r="V9">
        <v>0</v>
      </c>
      <c r="W9" t="s">
        <v>112</v>
      </c>
      <c r="X9">
        <v>0</v>
      </c>
      <c r="Y9">
        <v>0</v>
      </c>
      <c r="Z9">
        <v>10066.05</v>
      </c>
      <c r="AA9" s="2">
        <f t="shared" si="0"/>
        <v>0</v>
      </c>
      <c r="AB9">
        <v>5211.22</v>
      </c>
      <c r="AC9" t="s">
        <v>54</v>
      </c>
      <c r="AD9" t="s">
        <v>40</v>
      </c>
      <c r="AE9" t="s">
        <v>113</v>
      </c>
      <c r="AF9" t="s">
        <v>40</v>
      </c>
      <c r="AG9" t="s">
        <v>40</v>
      </c>
      <c r="AH9" t="s">
        <v>40</v>
      </c>
      <c r="AI9" t="s">
        <v>40</v>
      </c>
      <c r="AJ9" t="s">
        <v>40</v>
      </c>
      <c r="AK9" t="s">
        <v>40</v>
      </c>
      <c r="AL9" t="s">
        <v>40</v>
      </c>
    </row>
    <row r="10" spans="1:38">
      <c r="A10" t="s">
        <v>114</v>
      </c>
      <c r="B10" t="s">
        <v>115</v>
      </c>
      <c r="C10" t="s">
        <v>116</v>
      </c>
      <c r="D10" t="s">
        <v>40</v>
      </c>
      <c r="E10" t="s">
        <v>40</v>
      </c>
      <c r="F10" t="s">
        <v>117</v>
      </c>
      <c r="G10" t="s">
        <v>118</v>
      </c>
      <c r="H10" t="s">
        <v>106</v>
      </c>
      <c r="I10" t="s">
        <v>40</v>
      </c>
      <c r="J10" t="s">
        <v>119</v>
      </c>
      <c r="K10" t="s">
        <v>120</v>
      </c>
      <c r="L10" t="s">
        <v>121</v>
      </c>
      <c r="M10" t="s">
        <v>122</v>
      </c>
      <c r="N10" t="s">
        <v>123</v>
      </c>
      <c r="O10" s="1">
        <v>45912</v>
      </c>
      <c r="P10" t="s">
        <v>124</v>
      </c>
      <c r="Q10" t="s">
        <v>40</v>
      </c>
      <c r="R10" t="s">
        <v>40</v>
      </c>
      <c r="S10" t="s">
        <v>52</v>
      </c>
      <c r="T10" t="s">
        <v>40</v>
      </c>
      <c r="U10" t="s">
        <v>40</v>
      </c>
      <c r="V10">
        <v>2700</v>
      </c>
      <c r="W10" t="s">
        <v>125</v>
      </c>
      <c r="X10" t="s">
        <v>40</v>
      </c>
      <c r="Y10" t="s">
        <v>40</v>
      </c>
      <c r="Z10">
        <v>63633.01</v>
      </c>
      <c r="AA10" s="2">
        <f t="shared" si="0"/>
        <v>0.0424308075321284</v>
      </c>
      <c r="AB10" t="s">
        <v>40</v>
      </c>
      <c r="AC10" t="s">
        <v>100</v>
      </c>
      <c r="AD10" t="s">
        <v>40</v>
      </c>
      <c r="AE10" t="s">
        <v>113</v>
      </c>
      <c r="AF10" t="s">
        <v>40</v>
      </c>
      <c r="AG10" t="s">
        <v>40</v>
      </c>
      <c r="AH10" t="s">
        <v>40</v>
      </c>
      <c r="AI10" t="s">
        <v>40</v>
      </c>
      <c r="AJ10" t="s">
        <v>40</v>
      </c>
      <c r="AK10" t="s">
        <v>40</v>
      </c>
      <c r="AL10" t="s">
        <v>40</v>
      </c>
    </row>
    <row r="11" spans="1:38">
      <c r="A11" t="s">
        <v>126</v>
      </c>
      <c r="B11" t="s">
        <v>127</v>
      </c>
      <c r="C11" t="s">
        <v>128</v>
      </c>
      <c r="D11" t="s">
        <v>40</v>
      </c>
      <c r="E11" t="s">
        <v>40</v>
      </c>
      <c r="F11" t="s">
        <v>42</v>
      </c>
      <c r="G11" t="s">
        <v>118</v>
      </c>
      <c r="H11" t="s">
        <v>106</v>
      </c>
      <c r="I11" t="s">
        <v>129</v>
      </c>
      <c r="J11" t="s">
        <v>119</v>
      </c>
      <c r="K11" t="s">
        <v>130</v>
      </c>
      <c r="L11" t="s">
        <v>40</v>
      </c>
      <c r="M11" t="s">
        <v>40</v>
      </c>
      <c r="N11" t="s">
        <v>131</v>
      </c>
      <c r="O11" s="1">
        <v>46088</v>
      </c>
      <c r="P11" t="s">
        <v>132</v>
      </c>
      <c r="Q11" t="s">
        <v>40</v>
      </c>
      <c r="R11" t="s">
        <v>40</v>
      </c>
      <c r="S11" t="s">
        <v>133</v>
      </c>
      <c r="T11" t="s">
        <v>40</v>
      </c>
      <c r="U11" t="s">
        <v>40</v>
      </c>
      <c r="V11" t="s">
        <v>40</v>
      </c>
      <c r="W11" t="s">
        <v>40</v>
      </c>
      <c r="X11" t="s">
        <v>40</v>
      </c>
      <c r="Y11" t="s">
        <v>40</v>
      </c>
      <c r="Z11">
        <v>24823</v>
      </c>
      <c r="AA11" s="2" t="e">
        <f t="shared" si="0"/>
        <v>#VALUE!</v>
      </c>
      <c r="AB11" t="s">
        <v>40</v>
      </c>
      <c r="AC11" t="s">
        <v>100</v>
      </c>
      <c r="AD11" t="s">
        <v>40</v>
      </c>
      <c r="AE11" t="s">
        <v>113</v>
      </c>
      <c r="AF11" t="s">
        <v>40</v>
      </c>
      <c r="AG11" t="s">
        <v>40</v>
      </c>
      <c r="AH11" t="s">
        <v>40</v>
      </c>
      <c r="AI11" t="s">
        <v>40</v>
      </c>
      <c r="AJ11" t="s">
        <v>40</v>
      </c>
      <c r="AK11" t="s">
        <v>40</v>
      </c>
      <c r="AL11" t="s">
        <v>40</v>
      </c>
    </row>
    <row r="12" spans="1:38">
      <c r="A12" t="s">
        <v>134</v>
      </c>
      <c r="B12" t="s">
        <v>40</v>
      </c>
      <c r="C12" t="s">
        <v>135</v>
      </c>
      <c r="D12" t="s">
        <v>40</v>
      </c>
      <c r="E12" t="s">
        <v>42</v>
      </c>
      <c r="F12" t="s">
        <v>42</v>
      </c>
      <c r="G12" t="s">
        <v>136</v>
      </c>
      <c r="H12" t="s">
        <v>137</v>
      </c>
      <c r="I12" t="s">
        <v>138</v>
      </c>
      <c r="J12" t="s">
        <v>119</v>
      </c>
      <c r="K12" t="s">
        <v>40</v>
      </c>
      <c r="L12" t="s">
        <v>84</v>
      </c>
      <c r="M12" t="s">
        <v>139</v>
      </c>
      <c r="N12" t="s">
        <v>140</v>
      </c>
      <c r="O12" s="1">
        <v>46101</v>
      </c>
      <c r="P12" t="s">
        <v>141</v>
      </c>
      <c r="Q12" t="s">
        <v>40</v>
      </c>
      <c r="R12" t="s">
        <v>40</v>
      </c>
      <c r="S12" t="s">
        <v>40</v>
      </c>
      <c r="T12" t="s">
        <v>40</v>
      </c>
      <c r="U12" t="s">
        <v>40</v>
      </c>
      <c r="V12" t="s">
        <v>40</v>
      </c>
      <c r="W12" t="s">
        <v>40</v>
      </c>
      <c r="X12" t="s">
        <v>40</v>
      </c>
      <c r="Y12" t="s">
        <v>40</v>
      </c>
      <c r="Z12">
        <v>92.58</v>
      </c>
      <c r="AA12" s="2" t="e">
        <f t="shared" si="0"/>
        <v>#VALUE!</v>
      </c>
      <c r="AB12" t="s">
        <v>40</v>
      </c>
      <c r="AC12" t="s">
        <v>100</v>
      </c>
      <c r="AD12" t="s">
        <v>40</v>
      </c>
      <c r="AE12" t="s">
        <v>142</v>
      </c>
      <c r="AF12" t="s">
        <v>40</v>
      </c>
      <c r="AG12" t="s">
        <v>40</v>
      </c>
      <c r="AH12" t="s">
        <v>40</v>
      </c>
      <c r="AI12" t="s">
        <v>40</v>
      </c>
      <c r="AJ12" t="s">
        <v>40</v>
      </c>
      <c r="AK12" t="s">
        <v>40</v>
      </c>
      <c r="AL12" t="s">
        <v>40</v>
      </c>
    </row>
    <row r="13" spans="1:38">
      <c r="A13" t="s">
        <v>143</v>
      </c>
      <c r="B13" t="s">
        <v>144</v>
      </c>
      <c r="C13" t="s">
        <v>145</v>
      </c>
      <c r="D13" t="s">
        <v>40</v>
      </c>
      <c r="E13" t="s">
        <v>40</v>
      </c>
      <c r="F13" t="s">
        <v>42</v>
      </c>
      <c r="G13" t="s">
        <v>43</v>
      </c>
      <c r="H13" t="s">
        <v>146</v>
      </c>
      <c r="I13" t="s">
        <v>147</v>
      </c>
      <c r="J13" t="s">
        <v>46</v>
      </c>
      <c r="K13" t="s">
        <v>40</v>
      </c>
      <c r="L13" t="s">
        <v>148</v>
      </c>
      <c r="M13" t="s">
        <v>149</v>
      </c>
      <c r="N13" t="s">
        <v>61</v>
      </c>
      <c r="O13" s="1">
        <v>45389</v>
      </c>
      <c r="P13" t="s">
        <v>150</v>
      </c>
      <c r="Q13" s="1">
        <v>45401</v>
      </c>
      <c r="R13" t="s">
        <v>151</v>
      </c>
      <c r="S13" t="s">
        <v>52</v>
      </c>
      <c r="T13" t="s">
        <v>40</v>
      </c>
      <c r="U13" t="s">
        <v>40</v>
      </c>
      <c r="V13">
        <v>9940</v>
      </c>
      <c r="W13" t="s">
        <v>152</v>
      </c>
      <c r="X13">
        <v>0</v>
      </c>
      <c r="Y13">
        <v>0</v>
      </c>
      <c r="Z13">
        <v>17342.33</v>
      </c>
      <c r="AA13" s="2">
        <f t="shared" si="0"/>
        <v>0.573164044277787</v>
      </c>
      <c r="AB13" t="s">
        <v>40</v>
      </c>
      <c r="AC13" t="s">
        <v>54</v>
      </c>
      <c r="AD13" t="s">
        <v>40</v>
      </c>
      <c r="AE13" t="s">
        <v>153</v>
      </c>
      <c r="AF13" t="s">
        <v>154</v>
      </c>
      <c r="AG13" t="s">
        <v>40</v>
      </c>
      <c r="AH13" t="s">
        <v>40</v>
      </c>
      <c r="AI13" t="s">
        <v>40</v>
      </c>
      <c r="AJ13" t="s">
        <v>40</v>
      </c>
      <c r="AK13" t="s">
        <v>40</v>
      </c>
      <c r="AL13" t="s">
        <v>40</v>
      </c>
    </row>
    <row r="14" spans="1:38">
      <c r="A14" t="s">
        <v>155</v>
      </c>
      <c r="B14" t="s">
        <v>156</v>
      </c>
      <c r="C14" t="s">
        <v>157</v>
      </c>
      <c r="D14" t="s">
        <v>40</v>
      </c>
      <c r="E14" t="s">
        <v>157</v>
      </c>
      <c r="F14" t="s">
        <v>42</v>
      </c>
      <c r="G14" t="s">
        <v>158</v>
      </c>
      <c r="H14" t="s">
        <v>146</v>
      </c>
      <c r="I14" t="s">
        <v>159</v>
      </c>
      <c r="J14" t="s">
        <v>119</v>
      </c>
      <c r="K14" t="s">
        <v>160</v>
      </c>
      <c r="L14" t="s">
        <v>160</v>
      </c>
      <c r="M14" t="s">
        <v>149</v>
      </c>
      <c r="N14" t="s">
        <v>161</v>
      </c>
      <c r="O14" s="1">
        <v>46100</v>
      </c>
      <c r="P14" t="s">
        <v>162</v>
      </c>
      <c r="Q14" t="s">
        <v>40</v>
      </c>
      <c r="R14" t="s">
        <v>40</v>
      </c>
      <c r="S14" t="s">
        <v>133</v>
      </c>
      <c r="T14" t="s">
        <v>40</v>
      </c>
      <c r="U14" t="s">
        <v>40</v>
      </c>
      <c r="V14">
        <v>0</v>
      </c>
      <c r="W14" t="s">
        <v>163</v>
      </c>
      <c r="X14">
        <v>0</v>
      </c>
      <c r="Y14">
        <v>0</v>
      </c>
      <c r="Z14" t="s">
        <v>40</v>
      </c>
      <c r="AA14" s="2" t="e">
        <f t="shared" si="0"/>
        <v>#VALUE!</v>
      </c>
      <c r="AB14" t="s">
        <v>40</v>
      </c>
      <c r="AC14" t="s">
        <v>100</v>
      </c>
      <c r="AD14" t="s">
        <v>40</v>
      </c>
      <c r="AE14" t="s">
        <v>153</v>
      </c>
      <c r="AF14" t="s">
        <v>40</v>
      </c>
      <c r="AG14" t="s">
        <v>40</v>
      </c>
      <c r="AH14" t="s">
        <v>40</v>
      </c>
      <c r="AI14" t="s">
        <v>40</v>
      </c>
      <c r="AJ14" t="s">
        <v>40</v>
      </c>
      <c r="AK14" t="s">
        <v>40</v>
      </c>
      <c r="AL14" t="s">
        <v>40</v>
      </c>
    </row>
    <row r="15" spans="1:38">
      <c r="A15" t="s">
        <v>164</v>
      </c>
      <c r="B15" t="s">
        <v>40</v>
      </c>
      <c r="C15" t="s">
        <v>165</v>
      </c>
      <c r="D15" t="s">
        <v>40</v>
      </c>
      <c r="E15" t="s">
        <v>40</v>
      </c>
      <c r="F15" t="s">
        <v>40</v>
      </c>
      <c r="G15" t="s">
        <v>158</v>
      </c>
      <c r="H15" t="s">
        <v>146</v>
      </c>
      <c r="I15" t="s">
        <v>166</v>
      </c>
      <c r="J15" t="s">
        <v>119</v>
      </c>
      <c r="K15" t="s">
        <v>160</v>
      </c>
      <c r="L15" t="s">
        <v>160</v>
      </c>
      <c r="M15" t="s">
        <v>167</v>
      </c>
      <c r="N15" t="s">
        <v>168</v>
      </c>
      <c r="O15" s="1">
        <v>46088</v>
      </c>
      <c r="P15" t="s">
        <v>132</v>
      </c>
      <c r="Q15" t="s">
        <v>40</v>
      </c>
      <c r="R15" t="s">
        <v>40</v>
      </c>
      <c r="S15" t="s">
        <v>40</v>
      </c>
      <c r="T15" t="s">
        <v>40</v>
      </c>
      <c r="U15" t="s">
        <v>40</v>
      </c>
      <c r="V15">
        <v>0</v>
      </c>
      <c r="W15" t="s">
        <v>40</v>
      </c>
      <c r="X15" t="s">
        <v>40</v>
      </c>
      <c r="Y15" t="s">
        <v>40</v>
      </c>
      <c r="Z15" t="s">
        <v>40</v>
      </c>
      <c r="AA15" s="2" t="e">
        <f t="shared" si="0"/>
        <v>#VALUE!</v>
      </c>
      <c r="AB15" t="s">
        <v>40</v>
      </c>
      <c r="AC15" t="s">
        <v>100</v>
      </c>
      <c r="AD15" t="s">
        <v>40</v>
      </c>
      <c r="AE15" t="s">
        <v>153</v>
      </c>
      <c r="AF15" t="s">
        <v>40</v>
      </c>
      <c r="AG15" t="s">
        <v>40</v>
      </c>
      <c r="AH15" t="s">
        <v>40</v>
      </c>
      <c r="AI15" t="s">
        <v>40</v>
      </c>
      <c r="AJ15" t="s">
        <v>40</v>
      </c>
      <c r="AK15" t="s">
        <v>40</v>
      </c>
      <c r="AL15" t="s">
        <v>40</v>
      </c>
    </row>
    <row r="16" spans="1:38">
      <c r="A16" t="s">
        <v>164</v>
      </c>
      <c r="B16" t="s">
        <v>40</v>
      </c>
      <c r="C16" t="s">
        <v>169</v>
      </c>
      <c r="D16" t="s">
        <v>170</v>
      </c>
      <c r="E16" t="s">
        <v>40</v>
      </c>
      <c r="F16" t="s">
        <v>42</v>
      </c>
      <c r="G16" t="s">
        <v>158</v>
      </c>
      <c r="H16" t="s">
        <v>146</v>
      </c>
      <c r="I16" t="s">
        <v>171</v>
      </c>
      <c r="J16" t="s">
        <v>119</v>
      </c>
      <c r="K16" t="s">
        <v>40</v>
      </c>
      <c r="L16" t="s">
        <v>148</v>
      </c>
      <c r="M16" t="s">
        <v>149</v>
      </c>
      <c r="N16" t="s">
        <v>140</v>
      </c>
      <c r="O16" s="1">
        <v>46100</v>
      </c>
      <c r="P16" t="s">
        <v>162</v>
      </c>
      <c r="Q16" t="s">
        <v>40</v>
      </c>
      <c r="R16" t="s">
        <v>40</v>
      </c>
      <c r="S16" t="s">
        <v>40</v>
      </c>
      <c r="T16" t="s">
        <v>40</v>
      </c>
      <c r="U16" t="s">
        <v>40</v>
      </c>
      <c r="V16">
        <v>0</v>
      </c>
      <c r="W16" t="s">
        <v>40</v>
      </c>
      <c r="X16" t="s">
        <v>40</v>
      </c>
      <c r="Y16" t="s">
        <v>40</v>
      </c>
      <c r="Z16" t="s">
        <v>40</v>
      </c>
      <c r="AA16" s="2" t="e">
        <f t="shared" si="0"/>
        <v>#VALUE!</v>
      </c>
      <c r="AB16" t="s">
        <v>40</v>
      </c>
      <c r="AC16" t="s">
        <v>100</v>
      </c>
      <c r="AD16" t="s">
        <v>40</v>
      </c>
      <c r="AE16" t="s">
        <v>153</v>
      </c>
      <c r="AF16" t="s">
        <v>40</v>
      </c>
      <c r="AG16" t="s">
        <v>40</v>
      </c>
      <c r="AH16" t="s">
        <v>40</v>
      </c>
      <c r="AI16" t="s">
        <v>40</v>
      </c>
      <c r="AJ16" t="s">
        <v>40</v>
      </c>
      <c r="AK16" t="s">
        <v>40</v>
      </c>
      <c r="AL16" t="s">
        <v>40</v>
      </c>
    </row>
    <row r="17" spans="1:38">
      <c r="A17" t="s">
        <v>172</v>
      </c>
      <c r="B17" t="s">
        <v>40</v>
      </c>
      <c r="C17" s="3" t="s">
        <v>173</v>
      </c>
      <c r="D17" t="s">
        <v>170</v>
      </c>
      <c r="E17" t="s">
        <v>40</v>
      </c>
      <c r="F17" t="s">
        <v>40</v>
      </c>
      <c r="G17" t="s">
        <v>40</v>
      </c>
      <c r="H17" t="s">
        <v>40</v>
      </c>
      <c r="I17" t="s">
        <v>40</v>
      </c>
      <c r="J17" t="s">
        <v>40</v>
      </c>
      <c r="K17" t="s">
        <v>40</v>
      </c>
      <c r="L17" t="s">
        <v>40</v>
      </c>
      <c r="M17" t="s">
        <v>174</v>
      </c>
      <c r="N17" t="s">
        <v>40</v>
      </c>
      <c r="O17" t="s">
        <v>40</v>
      </c>
      <c r="P17" t="s">
        <v>40</v>
      </c>
      <c r="Q17" t="s">
        <v>40</v>
      </c>
      <c r="R17" t="s">
        <v>40</v>
      </c>
      <c r="S17" t="s">
        <v>40</v>
      </c>
      <c r="T17" t="s">
        <v>40</v>
      </c>
      <c r="U17" t="s">
        <v>40</v>
      </c>
      <c r="V17">
        <v>97000</v>
      </c>
      <c r="W17" t="s">
        <v>40</v>
      </c>
      <c r="X17" t="s">
        <v>40</v>
      </c>
      <c r="Y17" t="s">
        <v>40</v>
      </c>
      <c r="Z17">
        <v>762460</v>
      </c>
      <c r="AA17" s="2">
        <f t="shared" si="0"/>
        <v>0.127219788579073</v>
      </c>
      <c r="AB17" t="s">
        <v>40</v>
      </c>
      <c r="AC17" t="s">
        <v>40</v>
      </c>
      <c r="AD17" t="s">
        <v>40</v>
      </c>
      <c r="AE17" t="s">
        <v>175</v>
      </c>
      <c r="AF17" t="s">
        <v>40</v>
      </c>
      <c r="AG17" t="s">
        <v>173</v>
      </c>
      <c r="AH17" t="s">
        <v>176</v>
      </c>
      <c r="AI17" t="s">
        <v>177</v>
      </c>
      <c r="AJ17" t="s">
        <v>178</v>
      </c>
      <c r="AK17" t="s">
        <v>40</v>
      </c>
      <c r="AL17">
        <v>97000</v>
      </c>
    </row>
    <row r="18" spans="1:38">
      <c r="A18" t="s">
        <v>179</v>
      </c>
      <c r="B18" t="s">
        <v>180</v>
      </c>
      <c r="C18" t="s">
        <v>181</v>
      </c>
      <c r="D18" t="s">
        <v>170</v>
      </c>
      <c r="E18" t="s">
        <v>40</v>
      </c>
      <c r="F18" t="s">
        <v>42</v>
      </c>
      <c r="G18" t="s">
        <v>43</v>
      </c>
      <c r="H18" t="s">
        <v>146</v>
      </c>
      <c r="I18" t="s">
        <v>182</v>
      </c>
      <c r="J18" t="s">
        <v>183</v>
      </c>
      <c r="K18" t="s">
        <v>40</v>
      </c>
      <c r="L18" t="s">
        <v>84</v>
      </c>
      <c r="M18" t="s">
        <v>149</v>
      </c>
      <c r="N18" t="s">
        <v>49</v>
      </c>
      <c r="O18" s="1">
        <v>45358</v>
      </c>
      <c r="P18" t="s">
        <v>184</v>
      </c>
      <c r="Q18" s="1">
        <v>45369</v>
      </c>
      <c r="R18" t="s">
        <v>185</v>
      </c>
      <c r="S18" t="s">
        <v>52</v>
      </c>
      <c r="T18">
        <v>367570</v>
      </c>
      <c r="U18">
        <v>0</v>
      </c>
      <c r="V18">
        <v>767865</v>
      </c>
      <c r="W18" t="s">
        <v>186</v>
      </c>
      <c r="X18">
        <v>0</v>
      </c>
      <c r="Y18">
        <v>0</v>
      </c>
      <c r="Z18">
        <v>24708.5</v>
      </c>
      <c r="AA18" s="2">
        <f t="shared" si="0"/>
        <v>31.0769573223789</v>
      </c>
      <c r="AB18" t="s">
        <v>40</v>
      </c>
      <c r="AC18" t="s">
        <v>100</v>
      </c>
      <c r="AD18" t="s">
        <v>40</v>
      </c>
      <c r="AE18" t="s">
        <v>153</v>
      </c>
      <c r="AF18" t="s">
        <v>187</v>
      </c>
      <c r="AG18" t="s">
        <v>40</v>
      </c>
      <c r="AH18" t="s">
        <v>40</v>
      </c>
      <c r="AI18" t="s">
        <v>40</v>
      </c>
      <c r="AJ18" t="s">
        <v>40</v>
      </c>
      <c r="AK18" t="s">
        <v>40</v>
      </c>
      <c r="AL18" t="s">
        <v>40</v>
      </c>
    </row>
    <row r="19" spans="1:38">
      <c r="A19" t="s">
        <v>188</v>
      </c>
      <c r="B19" t="s">
        <v>40</v>
      </c>
      <c r="C19" s="3" t="s">
        <v>189</v>
      </c>
      <c r="D19" t="s">
        <v>170</v>
      </c>
      <c r="E19" t="s">
        <v>40</v>
      </c>
      <c r="F19" t="s">
        <v>40</v>
      </c>
      <c r="G19" t="s">
        <v>40</v>
      </c>
      <c r="H19" t="s">
        <v>40</v>
      </c>
      <c r="I19" t="s">
        <v>40</v>
      </c>
      <c r="J19" t="s">
        <v>40</v>
      </c>
      <c r="K19" t="s">
        <v>40</v>
      </c>
      <c r="L19" t="s">
        <v>40</v>
      </c>
      <c r="M19" t="s">
        <v>190</v>
      </c>
      <c r="N19" t="s">
        <v>40</v>
      </c>
      <c r="O19" t="s">
        <v>40</v>
      </c>
      <c r="P19" t="s">
        <v>40</v>
      </c>
      <c r="Q19" t="s">
        <v>40</v>
      </c>
      <c r="R19" t="s">
        <v>40</v>
      </c>
      <c r="S19" t="s">
        <v>40</v>
      </c>
      <c r="T19">
        <v>234300</v>
      </c>
      <c r="U19">
        <v>59700</v>
      </c>
      <c r="V19">
        <v>1175350</v>
      </c>
      <c r="W19" t="s">
        <v>40</v>
      </c>
      <c r="X19" t="s">
        <v>40</v>
      </c>
      <c r="Y19" t="s">
        <v>40</v>
      </c>
      <c r="Z19">
        <v>1137054</v>
      </c>
      <c r="AA19" s="2">
        <f t="shared" si="0"/>
        <v>1.03368001871503</v>
      </c>
      <c r="AB19" t="s">
        <v>40</v>
      </c>
      <c r="AC19" t="s">
        <v>40</v>
      </c>
      <c r="AD19" t="s">
        <v>40</v>
      </c>
      <c r="AE19" t="s">
        <v>175</v>
      </c>
      <c r="AF19" t="s">
        <v>40</v>
      </c>
      <c r="AG19" t="s">
        <v>189</v>
      </c>
      <c r="AH19" t="s">
        <v>176</v>
      </c>
      <c r="AI19" t="s">
        <v>177</v>
      </c>
      <c r="AJ19" t="s">
        <v>191</v>
      </c>
      <c r="AK19" t="s">
        <v>192</v>
      </c>
      <c r="AL19">
        <v>318000</v>
      </c>
    </row>
    <row r="20" spans="1:38">
      <c r="A20" t="s">
        <v>193</v>
      </c>
      <c r="B20" t="s">
        <v>194</v>
      </c>
      <c r="C20" t="s">
        <v>195</v>
      </c>
      <c r="D20" t="s">
        <v>40</v>
      </c>
      <c r="E20" t="s">
        <v>40</v>
      </c>
      <c r="F20" t="s">
        <v>42</v>
      </c>
      <c r="G20" t="s">
        <v>196</v>
      </c>
      <c r="H20" t="s">
        <v>137</v>
      </c>
      <c r="I20" t="s">
        <v>40</v>
      </c>
      <c r="J20" t="s">
        <v>46</v>
      </c>
      <c r="K20" t="s">
        <v>40</v>
      </c>
      <c r="L20" t="s">
        <v>197</v>
      </c>
      <c r="M20" t="s">
        <v>139</v>
      </c>
      <c r="N20" t="s">
        <v>198</v>
      </c>
      <c r="O20" s="1">
        <v>44363</v>
      </c>
      <c r="P20" t="s">
        <v>199</v>
      </c>
      <c r="Q20" s="1">
        <v>44393</v>
      </c>
      <c r="R20" t="s">
        <v>200</v>
      </c>
      <c r="S20" t="s">
        <v>52</v>
      </c>
      <c r="T20">
        <v>205485</v>
      </c>
      <c r="U20">
        <v>21865</v>
      </c>
      <c r="V20">
        <v>443270</v>
      </c>
      <c r="W20" t="s">
        <v>201</v>
      </c>
      <c r="X20">
        <v>4</v>
      </c>
      <c r="Y20">
        <v>0</v>
      </c>
      <c r="Z20">
        <v>40041.46</v>
      </c>
      <c r="AA20" s="2">
        <f t="shared" si="0"/>
        <v>11.0702756592792</v>
      </c>
      <c r="AB20" t="s">
        <v>40</v>
      </c>
      <c r="AC20" t="s">
        <v>100</v>
      </c>
      <c r="AD20" t="s">
        <v>40</v>
      </c>
      <c r="AE20" t="s">
        <v>142</v>
      </c>
      <c r="AF20" t="s">
        <v>40</v>
      </c>
      <c r="AG20" t="s">
        <v>40</v>
      </c>
      <c r="AH20" t="s">
        <v>40</v>
      </c>
      <c r="AI20" t="s">
        <v>40</v>
      </c>
      <c r="AJ20" t="s">
        <v>40</v>
      </c>
      <c r="AK20" t="s">
        <v>40</v>
      </c>
      <c r="AL20" t="s">
        <v>40</v>
      </c>
    </row>
    <row r="21" spans="1:38">
      <c r="A21" t="s">
        <v>202</v>
      </c>
      <c r="B21" t="s">
        <v>203</v>
      </c>
      <c r="C21" t="s">
        <v>204</v>
      </c>
      <c r="D21" t="s">
        <v>170</v>
      </c>
      <c r="E21" t="s">
        <v>40</v>
      </c>
      <c r="F21" t="s">
        <v>42</v>
      </c>
      <c r="G21" t="s">
        <v>43</v>
      </c>
      <c r="H21" t="s">
        <v>146</v>
      </c>
      <c r="I21" t="s">
        <v>205</v>
      </c>
      <c r="J21" t="s">
        <v>46</v>
      </c>
      <c r="K21" t="s">
        <v>40</v>
      </c>
      <c r="L21" t="s">
        <v>84</v>
      </c>
      <c r="M21" t="s">
        <v>206</v>
      </c>
      <c r="N21" t="s">
        <v>49</v>
      </c>
      <c r="O21" s="1">
        <v>45440</v>
      </c>
      <c r="P21" t="s">
        <v>207</v>
      </c>
      <c r="Q21" s="1">
        <v>45477</v>
      </c>
      <c r="R21" t="s">
        <v>63</v>
      </c>
      <c r="S21" t="s">
        <v>52</v>
      </c>
      <c r="T21">
        <v>117590</v>
      </c>
      <c r="U21">
        <v>32400</v>
      </c>
      <c r="V21">
        <v>215390</v>
      </c>
      <c r="W21" t="s">
        <v>208</v>
      </c>
      <c r="X21">
        <v>4</v>
      </c>
      <c r="Y21">
        <v>0</v>
      </c>
      <c r="Z21">
        <v>12651.39</v>
      </c>
      <c r="AA21" s="2">
        <f t="shared" si="0"/>
        <v>17.02500673839</v>
      </c>
      <c r="AB21" t="s">
        <v>40</v>
      </c>
      <c r="AC21" t="s">
        <v>100</v>
      </c>
      <c r="AD21" t="s">
        <v>40</v>
      </c>
      <c r="AE21" t="s">
        <v>153</v>
      </c>
      <c r="AF21" t="s">
        <v>187</v>
      </c>
      <c r="AG21" t="s">
        <v>40</v>
      </c>
      <c r="AH21" t="s">
        <v>40</v>
      </c>
      <c r="AI21" t="s">
        <v>40</v>
      </c>
      <c r="AJ21" t="s">
        <v>40</v>
      </c>
      <c r="AK21" t="s">
        <v>40</v>
      </c>
      <c r="AL21" t="s">
        <v>40</v>
      </c>
    </row>
    <row r="22" spans="1:38">
      <c r="A22" t="s">
        <v>209</v>
      </c>
      <c r="B22" t="s">
        <v>210</v>
      </c>
      <c r="C22" t="s">
        <v>211</v>
      </c>
      <c r="D22" t="s">
        <v>170</v>
      </c>
      <c r="E22" t="s">
        <v>40</v>
      </c>
      <c r="F22" t="s">
        <v>42</v>
      </c>
      <c r="G22" t="s">
        <v>196</v>
      </c>
      <c r="H22" t="s">
        <v>137</v>
      </c>
      <c r="I22" t="s">
        <v>212</v>
      </c>
      <c r="J22" t="s">
        <v>183</v>
      </c>
      <c r="K22" t="s">
        <v>40</v>
      </c>
      <c r="L22" t="s">
        <v>197</v>
      </c>
      <c r="M22" t="s">
        <v>139</v>
      </c>
      <c r="N22" t="s">
        <v>198</v>
      </c>
      <c r="O22" s="1">
        <v>44539</v>
      </c>
      <c r="P22" t="s">
        <v>213</v>
      </c>
      <c r="Q22" s="1">
        <v>44554</v>
      </c>
      <c r="R22" t="s">
        <v>214</v>
      </c>
      <c r="S22" t="s">
        <v>52</v>
      </c>
      <c r="T22">
        <v>106980</v>
      </c>
      <c r="U22">
        <v>18400</v>
      </c>
      <c r="V22">
        <v>281650</v>
      </c>
      <c r="W22" t="s">
        <v>215</v>
      </c>
      <c r="X22" t="s">
        <v>40</v>
      </c>
      <c r="Y22" t="s">
        <v>40</v>
      </c>
      <c r="Z22">
        <v>15874.72</v>
      </c>
      <c r="AA22" s="2">
        <f t="shared" si="0"/>
        <v>17.7420452140258</v>
      </c>
      <c r="AB22" t="s">
        <v>40</v>
      </c>
      <c r="AC22" t="s">
        <v>100</v>
      </c>
      <c r="AD22" t="s">
        <v>40</v>
      </c>
      <c r="AE22" t="s">
        <v>142</v>
      </c>
      <c r="AF22" t="s">
        <v>40</v>
      </c>
      <c r="AG22" t="s">
        <v>40</v>
      </c>
      <c r="AH22" t="s">
        <v>40</v>
      </c>
      <c r="AI22" t="s">
        <v>40</v>
      </c>
      <c r="AJ22" t="s">
        <v>40</v>
      </c>
      <c r="AK22" t="s">
        <v>40</v>
      </c>
      <c r="AL22" t="s">
        <v>40</v>
      </c>
    </row>
    <row r="23" spans="1:38">
      <c r="A23" t="s">
        <v>216</v>
      </c>
      <c r="B23" t="s">
        <v>40</v>
      </c>
      <c r="C23" s="3" t="s">
        <v>217</v>
      </c>
      <c r="D23" t="s">
        <v>170</v>
      </c>
      <c r="E23" t="s">
        <v>40</v>
      </c>
      <c r="F23" t="s">
        <v>40</v>
      </c>
      <c r="G23" t="s">
        <v>40</v>
      </c>
      <c r="H23" t="s">
        <v>40</v>
      </c>
      <c r="I23" t="s">
        <v>40</v>
      </c>
      <c r="J23" t="s">
        <v>40</v>
      </c>
      <c r="K23" t="s">
        <v>40</v>
      </c>
      <c r="L23" t="s">
        <v>40</v>
      </c>
      <c r="M23" t="s">
        <v>218</v>
      </c>
      <c r="N23" t="s">
        <v>40</v>
      </c>
      <c r="O23" t="s">
        <v>40</v>
      </c>
      <c r="P23" t="s">
        <v>40</v>
      </c>
      <c r="Q23" t="s">
        <v>40</v>
      </c>
      <c r="R23" t="s">
        <v>40</v>
      </c>
      <c r="S23" t="s">
        <v>40</v>
      </c>
      <c r="T23">
        <v>90057.6</v>
      </c>
      <c r="U23">
        <v>37842</v>
      </c>
      <c r="V23">
        <v>127899.6</v>
      </c>
      <c r="W23" t="s">
        <v>40</v>
      </c>
      <c r="X23" t="s">
        <v>40</v>
      </c>
      <c r="Y23" t="s">
        <v>40</v>
      </c>
      <c r="Z23">
        <v>292067</v>
      </c>
      <c r="AA23" s="2">
        <f t="shared" si="0"/>
        <v>0.437911848993553</v>
      </c>
      <c r="AB23" t="s">
        <v>40</v>
      </c>
      <c r="AC23" t="s">
        <v>40</v>
      </c>
      <c r="AD23" t="s">
        <v>40</v>
      </c>
      <c r="AE23" t="s">
        <v>175</v>
      </c>
      <c r="AF23" t="s">
        <v>40</v>
      </c>
      <c r="AG23" t="s">
        <v>217</v>
      </c>
      <c r="AH23" t="s">
        <v>176</v>
      </c>
      <c r="AI23" t="s">
        <v>177</v>
      </c>
      <c r="AJ23" t="s">
        <v>40</v>
      </c>
      <c r="AK23" t="s">
        <v>40</v>
      </c>
      <c r="AL23" t="s">
        <v>40</v>
      </c>
    </row>
    <row r="24" spans="1:38">
      <c r="A24" t="s">
        <v>219</v>
      </c>
      <c r="B24" t="s">
        <v>220</v>
      </c>
      <c r="C24" t="s">
        <v>221</v>
      </c>
      <c r="D24" t="s">
        <v>170</v>
      </c>
      <c r="E24" t="s">
        <v>40</v>
      </c>
      <c r="F24" t="s">
        <v>42</v>
      </c>
      <c r="G24" t="s">
        <v>222</v>
      </c>
      <c r="H24" t="s">
        <v>223</v>
      </c>
      <c r="I24" t="s">
        <v>224</v>
      </c>
      <c r="J24" t="s">
        <v>46</v>
      </c>
      <c r="K24" t="s">
        <v>225</v>
      </c>
      <c r="L24" t="s">
        <v>226</v>
      </c>
      <c r="M24" t="s">
        <v>227</v>
      </c>
      <c r="N24" t="s">
        <v>40</v>
      </c>
      <c r="O24" s="1">
        <v>45674</v>
      </c>
      <c r="P24" t="s">
        <v>228</v>
      </c>
      <c r="Q24" s="1">
        <v>45702</v>
      </c>
      <c r="R24" t="s">
        <v>229</v>
      </c>
      <c r="S24" t="s">
        <v>52</v>
      </c>
      <c r="T24">
        <v>73160</v>
      </c>
      <c r="U24">
        <v>12300</v>
      </c>
      <c r="V24">
        <v>85460</v>
      </c>
      <c r="W24" t="s">
        <v>230</v>
      </c>
      <c r="X24">
        <v>0</v>
      </c>
      <c r="Y24">
        <v>0</v>
      </c>
      <c r="Z24">
        <v>39248.16</v>
      </c>
      <c r="AA24" s="2">
        <f t="shared" si="0"/>
        <v>2.17742691631913</v>
      </c>
      <c r="AB24">
        <v>14898.01</v>
      </c>
      <c r="AC24" t="s">
        <v>231</v>
      </c>
      <c r="AD24" t="s">
        <v>40</v>
      </c>
      <c r="AE24" t="s">
        <v>232</v>
      </c>
      <c r="AF24" t="s">
        <v>40</v>
      </c>
      <c r="AG24" t="s">
        <v>40</v>
      </c>
      <c r="AH24" t="s">
        <v>40</v>
      </c>
      <c r="AI24" t="s">
        <v>40</v>
      </c>
      <c r="AJ24" t="s">
        <v>40</v>
      </c>
      <c r="AK24" t="s">
        <v>40</v>
      </c>
      <c r="AL24" t="s">
        <v>40</v>
      </c>
    </row>
    <row r="25" spans="1:38">
      <c r="A25" t="s">
        <v>233</v>
      </c>
      <c r="B25" t="s">
        <v>234</v>
      </c>
      <c r="C25" t="s">
        <v>235</v>
      </c>
      <c r="D25" t="s">
        <v>170</v>
      </c>
      <c r="E25" t="s">
        <v>40</v>
      </c>
      <c r="F25" t="s">
        <v>42</v>
      </c>
      <c r="G25" t="s">
        <v>43</v>
      </c>
      <c r="H25" t="s">
        <v>146</v>
      </c>
      <c r="I25" t="s">
        <v>236</v>
      </c>
      <c r="J25" t="s">
        <v>119</v>
      </c>
      <c r="K25" t="s">
        <v>83</v>
      </c>
      <c r="L25" t="s">
        <v>148</v>
      </c>
      <c r="M25" t="s">
        <v>149</v>
      </c>
      <c r="N25" t="s">
        <v>161</v>
      </c>
      <c r="O25" s="1">
        <v>45809</v>
      </c>
      <c r="P25" t="s">
        <v>237</v>
      </c>
      <c r="Q25" t="s">
        <v>40</v>
      </c>
      <c r="R25" t="s">
        <v>40</v>
      </c>
      <c r="S25" t="s">
        <v>52</v>
      </c>
      <c r="T25">
        <v>69005</v>
      </c>
      <c r="U25">
        <v>17320</v>
      </c>
      <c r="V25">
        <v>85325</v>
      </c>
      <c r="W25" t="s">
        <v>238</v>
      </c>
      <c r="X25">
        <v>0</v>
      </c>
      <c r="Y25">
        <v>0</v>
      </c>
      <c r="Z25">
        <v>48296.97</v>
      </c>
      <c r="AA25" s="2">
        <f t="shared" si="0"/>
        <v>1.76667397561379</v>
      </c>
      <c r="AB25" t="s">
        <v>40</v>
      </c>
      <c r="AC25" t="s">
        <v>231</v>
      </c>
      <c r="AD25" t="s">
        <v>40</v>
      </c>
      <c r="AE25" t="s">
        <v>153</v>
      </c>
      <c r="AF25" t="s">
        <v>187</v>
      </c>
      <c r="AG25" t="s">
        <v>40</v>
      </c>
      <c r="AH25" t="s">
        <v>40</v>
      </c>
      <c r="AI25" t="s">
        <v>40</v>
      </c>
      <c r="AJ25" t="s">
        <v>40</v>
      </c>
      <c r="AK25" t="s">
        <v>40</v>
      </c>
      <c r="AL25" t="s">
        <v>40</v>
      </c>
    </row>
    <row r="26" spans="1:38">
      <c r="A26" t="s">
        <v>239</v>
      </c>
      <c r="B26" t="s">
        <v>240</v>
      </c>
      <c r="C26" t="s">
        <v>241</v>
      </c>
      <c r="D26" t="s">
        <v>170</v>
      </c>
      <c r="E26" t="s">
        <v>40</v>
      </c>
      <c r="F26" t="s">
        <v>117</v>
      </c>
      <c r="G26" t="s">
        <v>196</v>
      </c>
      <c r="H26" t="s">
        <v>137</v>
      </c>
      <c r="I26" t="s">
        <v>242</v>
      </c>
      <c r="J26" t="s">
        <v>46</v>
      </c>
      <c r="K26" t="s">
        <v>40</v>
      </c>
      <c r="L26" t="s">
        <v>197</v>
      </c>
      <c r="M26" t="s">
        <v>139</v>
      </c>
      <c r="N26" t="s">
        <v>198</v>
      </c>
      <c r="O26" s="1">
        <v>44757</v>
      </c>
      <c r="P26" t="s">
        <v>243</v>
      </c>
      <c r="Q26" s="1">
        <v>44800</v>
      </c>
      <c r="R26" t="s">
        <v>244</v>
      </c>
      <c r="S26" t="s">
        <v>52</v>
      </c>
      <c r="T26">
        <v>59720</v>
      </c>
      <c r="U26">
        <v>21310</v>
      </c>
      <c r="V26">
        <v>110270</v>
      </c>
      <c r="W26" t="s">
        <v>245</v>
      </c>
      <c r="X26" t="s">
        <v>40</v>
      </c>
      <c r="Y26" t="s">
        <v>40</v>
      </c>
      <c r="Z26">
        <v>16264.21</v>
      </c>
      <c r="AA26" s="2">
        <f t="shared" si="0"/>
        <v>6.77991737686614</v>
      </c>
      <c r="AB26" t="s">
        <v>40</v>
      </c>
      <c r="AC26" t="s">
        <v>100</v>
      </c>
      <c r="AD26" t="s">
        <v>40</v>
      </c>
      <c r="AE26" t="s">
        <v>142</v>
      </c>
      <c r="AF26" t="s">
        <v>40</v>
      </c>
      <c r="AG26" t="s">
        <v>40</v>
      </c>
      <c r="AH26" t="s">
        <v>40</v>
      </c>
      <c r="AI26" t="s">
        <v>40</v>
      </c>
      <c r="AJ26" t="s">
        <v>40</v>
      </c>
      <c r="AK26" t="s">
        <v>40</v>
      </c>
      <c r="AL26" t="s">
        <v>40</v>
      </c>
    </row>
    <row r="27" spans="1:38">
      <c r="A27" t="s">
        <v>246</v>
      </c>
      <c r="B27" t="s">
        <v>247</v>
      </c>
      <c r="C27" t="s">
        <v>248</v>
      </c>
      <c r="D27" t="s">
        <v>40</v>
      </c>
      <c r="E27" t="s">
        <v>40</v>
      </c>
      <c r="F27" t="s">
        <v>42</v>
      </c>
      <c r="G27" t="s">
        <v>43</v>
      </c>
      <c r="H27" t="s">
        <v>146</v>
      </c>
      <c r="I27" t="s">
        <v>249</v>
      </c>
      <c r="J27" t="s">
        <v>46</v>
      </c>
      <c r="K27" t="s">
        <v>40</v>
      </c>
      <c r="L27" t="s">
        <v>84</v>
      </c>
      <c r="M27" t="s">
        <v>149</v>
      </c>
      <c r="N27" t="s">
        <v>49</v>
      </c>
      <c r="O27" s="1">
        <v>45250</v>
      </c>
      <c r="P27" t="s">
        <v>250</v>
      </c>
      <c r="Q27" s="1">
        <v>45275</v>
      </c>
      <c r="R27" t="s">
        <v>251</v>
      </c>
      <c r="S27" t="s">
        <v>52</v>
      </c>
      <c r="T27">
        <v>55110</v>
      </c>
      <c r="U27">
        <v>3870</v>
      </c>
      <c r="V27">
        <v>58980</v>
      </c>
      <c r="W27" t="s">
        <v>252</v>
      </c>
      <c r="X27">
        <v>0</v>
      </c>
      <c r="Y27">
        <v>0</v>
      </c>
      <c r="Z27">
        <v>1795.89</v>
      </c>
      <c r="AA27" s="2">
        <f t="shared" si="0"/>
        <v>32.8416551125069</v>
      </c>
      <c r="AB27" t="s">
        <v>40</v>
      </c>
      <c r="AC27" t="s">
        <v>100</v>
      </c>
      <c r="AD27" t="s">
        <v>40</v>
      </c>
      <c r="AE27" t="s">
        <v>153</v>
      </c>
      <c r="AF27" t="s">
        <v>154</v>
      </c>
      <c r="AG27" t="s">
        <v>40</v>
      </c>
      <c r="AH27" t="s">
        <v>40</v>
      </c>
      <c r="AI27" t="s">
        <v>40</v>
      </c>
      <c r="AJ27" t="s">
        <v>40</v>
      </c>
      <c r="AK27" t="s">
        <v>40</v>
      </c>
      <c r="AL27" t="s">
        <v>40</v>
      </c>
    </row>
    <row r="28" spans="1:38">
      <c r="A28" t="s">
        <v>253</v>
      </c>
      <c r="B28" t="s">
        <v>254</v>
      </c>
      <c r="C28" t="s">
        <v>255</v>
      </c>
      <c r="D28" t="s">
        <v>40</v>
      </c>
      <c r="E28" t="s">
        <v>40</v>
      </c>
      <c r="F28" t="s">
        <v>42</v>
      </c>
      <c r="G28" t="s">
        <v>105</v>
      </c>
      <c r="H28" t="s">
        <v>256</v>
      </c>
      <c r="I28" t="s">
        <v>257</v>
      </c>
      <c r="J28" t="s">
        <v>183</v>
      </c>
      <c r="K28" t="s">
        <v>40</v>
      </c>
      <c r="L28" t="s">
        <v>108</v>
      </c>
      <c r="M28" t="s">
        <v>190</v>
      </c>
      <c r="N28" t="s">
        <v>258</v>
      </c>
      <c r="O28" s="1">
        <v>45296</v>
      </c>
      <c r="P28" t="s">
        <v>259</v>
      </c>
      <c r="Q28" s="1">
        <v>45317</v>
      </c>
      <c r="R28" t="s">
        <v>260</v>
      </c>
      <c r="S28" t="s">
        <v>52</v>
      </c>
      <c r="T28">
        <v>54540</v>
      </c>
      <c r="U28">
        <v>0</v>
      </c>
      <c r="V28">
        <v>55905</v>
      </c>
      <c r="W28" t="s">
        <v>261</v>
      </c>
      <c r="X28">
        <v>0</v>
      </c>
      <c r="Y28">
        <v>0</v>
      </c>
      <c r="Z28">
        <v>12175.64</v>
      </c>
      <c r="AA28" s="2">
        <f t="shared" si="0"/>
        <v>4.59154508510436</v>
      </c>
      <c r="AB28" t="s">
        <v>40</v>
      </c>
      <c r="AC28" t="s">
        <v>100</v>
      </c>
      <c r="AD28" t="s">
        <v>40</v>
      </c>
      <c r="AE28" t="s">
        <v>262</v>
      </c>
      <c r="AF28" t="s">
        <v>40</v>
      </c>
      <c r="AG28" t="s">
        <v>40</v>
      </c>
      <c r="AH28" t="s">
        <v>40</v>
      </c>
      <c r="AI28" t="s">
        <v>40</v>
      </c>
      <c r="AJ28" t="s">
        <v>40</v>
      </c>
      <c r="AK28" t="s">
        <v>40</v>
      </c>
      <c r="AL28" t="s">
        <v>40</v>
      </c>
    </row>
    <row r="29" spans="1:38">
      <c r="A29" t="s">
        <v>263</v>
      </c>
      <c r="B29" t="s">
        <v>264</v>
      </c>
      <c r="C29" t="s">
        <v>265</v>
      </c>
      <c r="D29" t="s">
        <v>40</v>
      </c>
      <c r="E29" t="s">
        <v>40</v>
      </c>
      <c r="F29" t="s">
        <v>117</v>
      </c>
      <c r="G29" t="s">
        <v>105</v>
      </c>
      <c r="H29" t="s">
        <v>256</v>
      </c>
      <c r="I29" t="s">
        <v>266</v>
      </c>
      <c r="J29" t="s">
        <v>183</v>
      </c>
      <c r="K29" t="s">
        <v>40</v>
      </c>
      <c r="L29" t="s">
        <v>108</v>
      </c>
      <c r="M29" t="s">
        <v>190</v>
      </c>
      <c r="N29" t="s">
        <v>258</v>
      </c>
      <c r="O29" s="1">
        <v>44790</v>
      </c>
      <c r="P29" t="s">
        <v>267</v>
      </c>
      <c r="Q29" s="1">
        <v>44818</v>
      </c>
      <c r="R29" t="s">
        <v>268</v>
      </c>
      <c r="S29" t="s">
        <v>52</v>
      </c>
      <c r="T29">
        <v>53720</v>
      </c>
      <c r="U29">
        <v>3200</v>
      </c>
      <c r="V29">
        <v>125715</v>
      </c>
      <c r="W29" t="s">
        <v>269</v>
      </c>
      <c r="X29">
        <v>1</v>
      </c>
      <c r="Y29">
        <v>0</v>
      </c>
      <c r="Z29">
        <v>23792.88</v>
      </c>
      <c r="AA29" s="2">
        <f t="shared" si="0"/>
        <v>5.28372353409928</v>
      </c>
      <c r="AB29" t="s">
        <v>40</v>
      </c>
      <c r="AC29" t="s">
        <v>100</v>
      </c>
      <c r="AD29" t="s">
        <v>40</v>
      </c>
      <c r="AE29" t="s">
        <v>262</v>
      </c>
      <c r="AF29" t="s">
        <v>40</v>
      </c>
      <c r="AG29" t="s">
        <v>40</v>
      </c>
      <c r="AH29" t="s">
        <v>40</v>
      </c>
      <c r="AI29" t="s">
        <v>40</v>
      </c>
      <c r="AJ29" t="s">
        <v>40</v>
      </c>
      <c r="AK29" t="s">
        <v>40</v>
      </c>
      <c r="AL29" t="s">
        <v>40</v>
      </c>
    </row>
    <row r="30" spans="1:38">
      <c r="A30" t="s">
        <v>270</v>
      </c>
      <c r="B30" t="s">
        <v>271</v>
      </c>
      <c r="C30" t="s">
        <v>272</v>
      </c>
      <c r="D30" t="s">
        <v>170</v>
      </c>
      <c r="E30" t="s">
        <v>40</v>
      </c>
      <c r="F30" t="s">
        <v>42</v>
      </c>
      <c r="G30" t="s">
        <v>196</v>
      </c>
      <c r="H30" t="s">
        <v>137</v>
      </c>
      <c r="I30" t="s">
        <v>273</v>
      </c>
      <c r="J30" t="s">
        <v>119</v>
      </c>
      <c r="K30" t="s">
        <v>83</v>
      </c>
      <c r="L30" t="s">
        <v>160</v>
      </c>
      <c r="M30" t="s">
        <v>139</v>
      </c>
      <c r="N30" t="s">
        <v>274</v>
      </c>
      <c r="O30" s="1">
        <v>45625</v>
      </c>
      <c r="P30" t="s">
        <v>275</v>
      </c>
      <c r="Q30" s="1">
        <v>45655</v>
      </c>
      <c r="R30" t="s">
        <v>276</v>
      </c>
      <c r="S30" t="s">
        <v>277</v>
      </c>
      <c r="T30">
        <v>49245</v>
      </c>
      <c r="U30">
        <v>11315</v>
      </c>
      <c r="V30">
        <v>60560</v>
      </c>
      <c r="W30" t="s">
        <v>278</v>
      </c>
      <c r="X30" t="s">
        <v>40</v>
      </c>
      <c r="Y30" t="s">
        <v>40</v>
      </c>
      <c r="Z30">
        <v>16489.11</v>
      </c>
      <c r="AA30" s="2">
        <f t="shared" si="0"/>
        <v>3.67272703014292</v>
      </c>
      <c r="AB30" t="s">
        <v>40</v>
      </c>
      <c r="AC30" t="s">
        <v>100</v>
      </c>
      <c r="AD30" t="s">
        <v>40</v>
      </c>
      <c r="AE30" t="s">
        <v>142</v>
      </c>
      <c r="AF30" t="s">
        <v>40</v>
      </c>
      <c r="AG30" t="s">
        <v>40</v>
      </c>
      <c r="AH30" t="s">
        <v>40</v>
      </c>
      <c r="AI30" t="s">
        <v>40</v>
      </c>
      <c r="AJ30" t="s">
        <v>40</v>
      </c>
      <c r="AK30" t="s">
        <v>40</v>
      </c>
      <c r="AL30" t="s">
        <v>40</v>
      </c>
    </row>
    <row r="31" spans="1:38">
      <c r="A31" t="s">
        <v>279</v>
      </c>
      <c r="B31" t="s">
        <v>280</v>
      </c>
      <c r="C31" t="s">
        <v>281</v>
      </c>
      <c r="D31" t="s">
        <v>40</v>
      </c>
      <c r="E31" t="s">
        <v>282</v>
      </c>
      <c r="F31" t="s">
        <v>42</v>
      </c>
      <c r="G31" t="s">
        <v>43</v>
      </c>
      <c r="H31" t="s">
        <v>146</v>
      </c>
      <c r="I31" t="s">
        <v>182</v>
      </c>
      <c r="J31" t="s">
        <v>183</v>
      </c>
      <c r="K31" t="s">
        <v>40</v>
      </c>
      <c r="L31" t="s">
        <v>148</v>
      </c>
      <c r="M31" t="s">
        <v>149</v>
      </c>
      <c r="N31" t="s">
        <v>49</v>
      </c>
      <c r="O31" s="1">
        <v>45435</v>
      </c>
      <c r="P31" t="s">
        <v>283</v>
      </c>
      <c r="Q31" s="1">
        <v>45474</v>
      </c>
      <c r="R31" t="s">
        <v>284</v>
      </c>
      <c r="S31" t="s">
        <v>52</v>
      </c>
      <c r="T31">
        <v>46260</v>
      </c>
      <c r="U31">
        <v>2800</v>
      </c>
      <c r="V31">
        <v>55745</v>
      </c>
      <c r="W31" t="s">
        <v>285</v>
      </c>
      <c r="X31">
        <v>2</v>
      </c>
      <c r="Y31">
        <v>0</v>
      </c>
      <c r="Z31">
        <v>12923.94</v>
      </c>
      <c r="AA31" s="2">
        <f t="shared" si="0"/>
        <v>4.31331312277835</v>
      </c>
      <c r="AB31" t="s">
        <v>40</v>
      </c>
      <c r="AC31" t="s">
        <v>100</v>
      </c>
      <c r="AD31" t="s">
        <v>40</v>
      </c>
      <c r="AE31" t="s">
        <v>153</v>
      </c>
      <c r="AF31" t="s">
        <v>187</v>
      </c>
      <c r="AG31" t="s">
        <v>40</v>
      </c>
      <c r="AH31" t="s">
        <v>40</v>
      </c>
      <c r="AI31" t="s">
        <v>40</v>
      </c>
      <c r="AJ31" t="s">
        <v>40</v>
      </c>
      <c r="AK31" t="s">
        <v>40</v>
      </c>
      <c r="AL31" t="s">
        <v>40</v>
      </c>
    </row>
    <row r="32" spans="1:38">
      <c r="A32" t="s">
        <v>286</v>
      </c>
      <c r="B32" t="s">
        <v>287</v>
      </c>
      <c r="C32" t="s">
        <v>288</v>
      </c>
      <c r="D32" t="s">
        <v>40</v>
      </c>
      <c r="E32" t="s">
        <v>40</v>
      </c>
      <c r="F32" t="s">
        <v>117</v>
      </c>
      <c r="G32" t="s">
        <v>289</v>
      </c>
      <c r="H32" t="s">
        <v>137</v>
      </c>
      <c r="I32" t="s">
        <v>290</v>
      </c>
      <c r="J32" t="s">
        <v>46</v>
      </c>
      <c r="K32" t="s">
        <v>164</v>
      </c>
      <c r="L32" t="s">
        <v>291</v>
      </c>
      <c r="M32" t="s">
        <v>292</v>
      </c>
      <c r="N32" t="s">
        <v>293</v>
      </c>
      <c r="O32" s="1">
        <v>45645</v>
      </c>
      <c r="P32" t="s">
        <v>294</v>
      </c>
      <c r="Q32" s="1">
        <v>45332</v>
      </c>
      <c r="R32" t="s">
        <v>295</v>
      </c>
      <c r="S32" t="s">
        <v>52</v>
      </c>
      <c r="T32">
        <v>46200</v>
      </c>
      <c r="U32">
        <v>0</v>
      </c>
      <c r="V32">
        <v>46200</v>
      </c>
      <c r="W32" t="s">
        <v>296</v>
      </c>
      <c r="X32">
        <v>0</v>
      </c>
      <c r="Y32">
        <v>0</v>
      </c>
      <c r="Z32">
        <v>32798.58</v>
      </c>
      <c r="AA32" s="2">
        <f t="shared" si="0"/>
        <v>1.40859756733371</v>
      </c>
      <c r="AB32" t="s">
        <v>40</v>
      </c>
      <c r="AC32" t="s">
        <v>54</v>
      </c>
      <c r="AD32" t="s">
        <v>40</v>
      </c>
      <c r="AE32" t="s">
        <v>142</v>
      </c>
      <c r="AF32" t="s">
        <v>40</v>
      </c>
      <c r="AG32" t="s">
        <v>40</v>
      </c>
      <c r="AH32" t="s">
        <v>40</v>
      </c>
      <c r="AI32" t="s">
        <v>40</v>
      </c>
      <c r="AJ32" t="s">
        <v>40</v>
      </c>
      <c r="AK32" t="s">
        <v>40</v>
      </c>
      <c r="AL32" t="s">
        <v>40</v>
      </c>
    </row>
    <row r="33" spans="1:38">
      <c r="A33" t="s">
        <v>297</v>
      </c>
      <c r="B33" t="s">
        <v>298</v>
      </c>
      <c r="C33" t="s">
        <v>299</v>
      </c>
      <c r="D33" t="s">
        <v>40</v>
      </c>
      <c r="E33" t="s">
        <v>40</v>
      </c>
      <c r="F33" t="s">
        <v>59</v>
      </c>
      <c r="G33" t="s">
        <v>43</v>
      </c>
      <c r="H33" t="s">
        <v>146</v>
      </c>
      <c r="I33" t="s">
        <v>300</v>
      </c>
      <c r="J33" t="s">
        <v>46</v>
      </c>
      <c r="K33" t="s">
        <v>40</v>
      </c>
      <c r="L33" t="s">
        <v>84</v>
      </c>
      <c r="M33" t="s">
        <v>149</v>
      </c>
      <c r="N33" t="s">
        <v>49</v>
      </c>
      <c r="O33" s="1">
        <v>44418</v>
      </c>
      <c r="P33" t="s">
        <v>301</v>
      </c>
      <c r="Q33" s="1">
        <v>44433</v>
      </c>
      <c r="R33" t="s">
        <v>302</v>
      </c>
      <c r="S33" t="s">
        <v>52</v>
      </c>
      <c r="T33">
        <v>41725</v>
      </c>
      <c r="U33">
        <v>7650</v>
      </c>
      <c r="V33">
        <v>10345</v>
      </c>
      <c r="W33" t="s">
        <v>303</v>
      </c>
      <c r="X33">
        <v>0</v>
      </c>
      <c r="Y33">
        <v>0</v>
      </c>
      <c r="Z33">
        <v>11939</v>
      </c>
      <c r="AA33" s="2">
        <f t="shared" si="0"/>
        <v>0.866487980567887</v>
      </c>
      <c r="AB33" t="s">
        <v>40</v>
      </c>
      <c r="AC33" t="s">
        <v>304</v>
      </c>
      <c r="AD33" t="s">
        <v>40</v>
      </c>
      <c r="AE33" t="s">
        <v>153</v>
      </c>
      <c r="AF33" t="s">
        <v>187</v>
      </c>
      <c r="AG33" t="s">
        <v>40</v>
      </c>
      <c r="AH33" t="s">
        <v>40</v>
      </c>
      <c r="AI33" t="s">
        <v>40</v>
      </c>
      <c r="AJ33" t="s">
        <v>40</v>
      </c>
      <c r="AK33" t="s">
        <v>40</v>
      </c>
      <c r="AL33" t="s">
        <v>40</v>
      </c>
    </row>
    <row r="34" spans="1:38">
      <c r="A34" t="s">
        <v>305</v>
      </c>
      <c r="B34" t="s">
        <v>306</v>
      </c>
      <c r="C34" t="s">
        <v>307</v>
      </c>
      <c r="D34" t="s">
        <v>40</v>
      </c>
      <c r="E34" t="s">
        <v>40</v>
      </c>
      <c r="F34" t="s">
        <v>42</v>
      </c>
      <c r="G34" t="s">
        <v>105</v>
      </c>
      <c r="H34" t="s">
        <v>256</v>
      </c>
      <c r="I34" t="s">
        <v>308</v>
      </c>
      <c r="J34" t="s">
        <v>46</v>
      </c>
      <c r="K34" t="s">
        <v>40</v>
      </c>
      <c r="L34" t="s">
        <v>108</v>
      </c>
      <c r="M34" t="s">
        <v>190</v>
      </c>
      <c r="N34" t="s">
        <v>258</v>
      </c>
      <c r="O34" s="1">
        <v>44040</v>
      </c>
      <c r="P34" t="s">
        <v>309</v>
      </c>
      <c r="Q34" s="1">
        <v>44069</v>
      </c>
      <c r="R34" t="s">
        <v>310</v>
      </c>
      <c r="S34" t="s">
        <v>52</v>
      </c>
      <c r="T34">
        <v>36715</v>
      </c>
      <c r="U34">
        <v>10800</v>
      </c>
      <c r="V34">
        <v>94754</v>
      </c>
      <c r="W34" t="s">
        <v>311</v>
      </c>
      <c r="X34">
        <v>0</v>
      </c>
      <c r="Y34">
        <v>0</v>
      </c>
      <c r="Z34">
        <v>15380.57</v>
      </c>
      <c r="AA34" s="2">
        <f t="shared" si="0"/>
        <v>6.1606299376421</v>
      </c>
      <c r="AB34" t="s">
        <v>40</v>
      </c>
      <c r="AC34" t="s">
        <v>100</v>
      </c>
      <c r="AD34" t="s">
        <v>40</v>
      </c>
      <c r="AE34" t="s">
        <v>262</v>
      </c>
      <c r="AF34" t="s">
        <v>40</v>
      </c>
      <c r="AG34" t="s">
        <v>40</v>
      </c>
      <c r="AH34" t="s">
        <v>40</v>
      </c>
      <c r="AI34" t="s">
        <v>40</v>
      </c>
      <c r="AJ34" t="s">
        <v>40</v>
      </c>
      <c r="AK34" t="s">
        <v>40</v>
      </c>
      <c r="AL34" t="s">
        <v>40</v>
      </c>
    </row>
    <row r="35" spans="1:38">
      <c r="A35" t="s">
        <v>312</v>
      </c>
      <c r="B35" t="s">
        <v>313</v>
      </c>
      <c r="C35" t="s">
        <v>314</v>
      </c>
      <c r="D35" t="s">
        <v>170</v>
      </c>
      <c r="E35" t="s">
        <v>40</v>
      </c>
      <c r="F35" t="s">
        <v>42</v>
      </c>
      <c r="G35" t="s">
        <v>43</v>
      </c>
      <c r="H35" t="s">
        <v>146</v>
      </c>
      <c r="I35" t="s">
        <v>159</v>
      </c>
      <c r="J35" t="s">
        <v>46</v>
      </c>
      <c r="K35" t="s">
        <v>40</v>
      </c>
      <c r="L35" t="s">
        <v>315</v>
      </c>
      <c r="M35" t="s">
        <v>149</v>
      </c>
      <c r="N35" t="s">
        <v>49</v>
      </c>
      <c r="O35" s="1">
        <v>45490</v>
      </c>
      <c r="P35" t="s">
        <v>316</v>
      </c>
      <c r="Q35" t="s">
        <v>40</v>
      </c>
      <c r="R35" t="s">
        <v>40</v>
      </c>
      <c r="S35" t="s">
        <v>52</v>
      </c>
      <c r="T35">
        <v>35405</v>
      </c>
      <c r="U35">
        <v>3400</v>
      </c>
      <c r="V35">
        <v>38805</v>
      </c>
      <c r="W35" t="s">
        <v>317</v>
      </c>
      <c r="X35">
        <v>1</v>
      </c>
      <c r="Y35">
        <v>0</v>
      </c>
      <c r="Z35">
        <v>11317.31</v>
      </c>
      <c r="AA35" s="2">
        <f t="shared" si="0"/>
        <v>3.42881833227154</v>
      </c>
      <c r="AB35" t="s">
        <v>40</v>
      </c>
      <c r="AC35" t="s">
        <v>100</v>
      </c>
      <c r="AD35" t="s">
        <v>40</v>
      </c>
      <c r="AE35" t="s">
        <v>153</v>
      </c>
      <c r="AF35" t="s">
        <v>154</v>
      </c>
      <c r="AG35" t="s">
        <v>40</v>
      </c>
      <c r="AH35" t="s">
        <v>40</v>
      </c>
      <c r="AI35" t="s">
        <v>40</v>
      </c>
      <c r="AJ35" t="s">
        <v>40</v>
      </c>
      <c r="AK35" t="s">
        <v>40</v>
      </c>
      <c r="AL35" t="s">
        <v>40</v>
      </c>
    </row>
    <row r="36" spans="1:38">
      <c r="A36" t="s">
        <v>318</v>
      </c>
      <c r="B36" t="s">
        <v>319</v>
      </c>
      <c r="C36" t="s">
        <v>320</v>
      </c>
      <c r="D36" t="s">
        <v>40</v>
      </c>
      <c r="E36" t="s">
        <v>321</v>
      </c>
      <c r="F36" t="s">
        <v>42</v>
      </c>
      <c r="G36" t="s">
        <v>43</v>
      </c>
      <c r="H36" t="s">
        <v>322</v>
      </c>
      <c r="I36" t="s">
        <v>322</v>
      </c>
      <c r="J36" t="s">
        <v>46</v>
      </c>
      <c r="K36" t="s">
        <v>40</v>
      </c>
      <c r="L36" t="s">
        <v>47</v>
      </c>
      <c r="M36" t="s">
        <v>69</v>
      </c>
      <c r="N36" t="s">
        <v>61</v>
      </c>
      <c r="O36" s="1">
        <v>45030</v>
      </c>
      <c r="P36" t="s">
        <v>323</v>
      </c>
      <c r="Q36" s="1">
        <v>45058</v>
      </c>
      <c r="R36" t="s">
        <v>324</v>
      </c>
      <c r="S36" t="s">
        <v>52</v>
      </c>
      <c r="T36">
        <v>29500</v>
      </c>
      <c r="U36">
        <v>0</v>
      </c>
      <c r="V36">
        <v>29500</v>
      </c>
      <c r="W36" t="s">
        <v>325</v>
      </c>
      <c r="X36">
        <v>0</v>
      </c>
      <c r="Y36">
        <v>0</v>
      </c>
      <c r="Z36">
        <v>7264.47</v>
      </c>
      <c r="AA36" s="2">
        <f t="shared" si="0"/>
        <v>4.06086059960327</v>
      </c>
      <c r="AB36" t="s">
        <v>40</v>
      </c>
      <c r="AC36" t="s">
        <v>100</v>
      </c>
      <c r="AD36" t="s">
        <v>40</v>
      </c>
      <c r="AE36" t="s">
        <v>326</v>
      </c>
      <c r="AF36" t="s">
        <v>40</v>
      </c>
      <c r="AG36" t="s">
        <v>40</v>
      </c>
      <c r="AH36" t="s">
        <v>40</v>
      </c>
      <c r="AI36" t="s">
        <v>40</v>
      </c>
      <c r="AJ36" t="s">
        <v>40</v>
      </c>
      <c r="AK36" t="s">
        <v>40</v>
      </c>
      <c r="AL36" t="s">
        <v>40</v>
      </c>
    </row>
    <row r="37" spans="1:38">
      <c r="A37" t="s">
        <v>327</v>
      </c>
      <c r="B37" t="s">
        <v>328</v>
      </c>
      <c r="C37" t="s">
        <v>329</v>
      </c>
      <c r="D37" t="s">
        <v>170</v>
      </c>
      <c r="E37" t="s">
        <v>40</v>
      </c>
      <c r="F37" t="s">
        <v>117</v>
      </c>
      <c r="G37" t="s">
        <v>105</v>
      </c>
      <c r="H37" t="s">
        <v>256</v>
      </c>
      <c r="I37" t="s">
        <v>330</v>
      </c>
      <c r="J37" t="s">
        <v>46</v>
      </c>
      <c r="K37" t="s">
        <v>40</v>
      </c>
      <c r="L37" t="s">
        <v>108</v>
      </c>
      <c r="M37" t="s">
        <v>190</v>
      </c>
      <c r="N37" t="s">
        <v>49</v>
      </c>
      <c r="O37" s="1">
        <v>45224</v>
      </c>
      <c r="P37" t="s">
        <v>331</v>
      </c>
      <c r="Q37" s="1">
        <v>45243</v>
      </c>
      <c r="R37" t="s">
        <v>332</v>
      </c>
      <c r="S37" t="s">
        <v>52</v>
      </c>
      <c r="T37">
        <v>29000</v>
      </c>
      <c r="U37">
        <v>3600</v>
      </c>
      <c r="V37">
        <v>74900</v>
      </c>
      <c r="W37" t="s">
        <v>333</v>
      </c>
      <c r="X37">
        <v>0</v>
      </c>
      <c r="Y37">
        <v>0</v>
      </c>
      <c r="Z37">
        <v>20958.71</v>
      </c>
      <c r="AA37" s="2">
        <f t="shared" si="0"/>
        <v>3.57369322825689</v>
      </c>
      <c r="AB37" t="s">
        <v>40</v>
      </c>
      <c r="AC37" t="s">
        <v>100</v>
      </c>
      <c r="AD37" t="s">
        <v>40</v>
      </c>
      <c r="AE37" t="s">
        <v>262</v>
      </c>
      <c r="AF37" t="s">
        <v>40</v>
      </c>
      <c r="AG37" t="s">
        <v>40</v>
      </c>
      <c r="AH37" t="s">
        <v>40</v>
      </c>
      <c r="AI37" t="s">
        <v>40</v>
      </c>
      <c r="AJ37" t="s">
        <v>40</v>
      </c>
      <c r="AK37" t="s">
        <v>40</v>
      </c>
      <c r="AL37" t="s">
        <v>40</v>
      </c>
    </row>
    <row r="38" spans="1:38">
      <c r="A38" t="s">
        <v>334</v>
      </c>
      <c r="B38" t="s">
        <v>335</v>
      </c>
      <c r="C38" t="s">
        <v>336</v>
      </c>
      <c r="D38" t="s">
        <v>40</v>
      </c>
      <c r="E38" t="s">
        <v>40</v>
      </c>
      <c r="F38" t="s">
        <v>42</v>
      </c>
      <c r="G38" t="s">
        <v>105</v>
      </c>
      <c r="H38" t="s">
        <v>256</v>
      </c>
      <c r="I38" t="s">
        <v>308</v>
      </c>
      <c r="J38" t="s">
        <v>46</v>
      </c>
      <c r="K38" t="s">
        <v>40</v>
      </c>
      <c r="L38" t="s">
        <v>108</v>
      </c>
      <c r="M38" t="s">
        <v>190</v>
      </c>
      <c r="N38" t="s">
        <v>337</v>
      </c>
      <c r="O38" s="1">
        <v>45433</v>
      </c>
      <c r="P38" t="s">
        <v>338</v>
      </c>
      <c r="Q38" s="1">
        <v>45462</v>
      </c>
      <c r="R38" t="s">
        <v>339</v>
      </c>
      <c r="S38" t="s">
        <v>52</v>
      </c>
      <c r="T38">
        <v>25935</v>
      </c>
      <c r="U38">
        <v>0</v>
      </c>
      <c r="V38">
        <v>48750</v>
      </c>
      <c r="W38" t="s">
        <v>340</v>
      </c>
      <c r="X38">
        <v>0</v>
      </c>
      <c r="Y38">
        <v>0</v>
      </c>
      <c r="Z38">
        <v>13682.78</v>
      </c>
      <c r="AA38" s="2">
        <f t="shared" si="0"/>
        <v>3.56287245720533</v>
      </c>
      <c r="AB38" t="s">
        <v>40</v>
      </c>
      <c r="AC38" t="s">
        <v>100</v>
      </c>
      <c r="AD38" t="s">
        <v>40</v>
      </c>
      <c r="AE38" t="s">
        <v>262</v>
      </c>
      <c r="AF38" t="s">
        <v>40</v>
      </c>
      <c r="AG38" t="s">
        <v>40</v>
      </c>
      <c r="AH38" t="s">
        <v>40</v>
      </c>
      <c r="AI38" t="s">
        <v>40</v>
      </c>
      <c r="AJ38" t="s">
        <v>40</v>
      </c>
      <c r="AK38" t="s">
        <v>40</v>
      </c>
      <c r="AL38" t="s">
        <v>40</v>
      </c>
    </row>
    <row r="39" spans="1:38">
      <c r="A39" t="s">
        <v>341</v>
      </c>
      <c r="B39" t="s">
        <v>342</v>
      </c>
      <c r="C39" t="s">
        <v>343</v>
      </c>
      <c r="D39" t="s">
        <v>40</v>
      </c>
      <c r="E39" t="s">
        <v>40</v>
      </c>
      <c r="F39" t="s">
        <v>42</v>
      </c>
      <c r="G39" t="s">
        <v>196</v>
      </c>
      <c r="H39" t="s">
        <v>137</v>
      </c>
      <c r="I39" t="s">
        <v>138</v>
      </c>
      <c r="J39" t="s">
        <v>183</v>
      </c>
      <c r="K39" t="s">
        <v>40</v>
      </c>
      <c r="L39" t="s">
        <v>197</v>
      </c>
      <c r="M39" t="s">
        <v>139</v>
      </c>
      <c r="N39" t="s">
        <v>198</v>
      </c>
      <c r="O39" s="1">
        <v>44882</v>
      </c>
      <c r="P39" t="s">
        <v>344</v>
      </c>
      <c r="Q39" s="1">
        <v>44939</v>
      </c>
      <c r="R39" t="s">
        <v>345</v>
      </c>
      <c r="S39" t="s">
        <v>52</v>
      </c>
      <c r="T39">
        <v>24440</v>
      </c>
      <c r="U39">
        <v>4940</v>
      </c>
      <c r="V39">
        <v>82755</v>
      </c>
      <c r="W39" t="s">
        <v>346</v>
      </c>
      <c r="X39" t="s">
        <v>40</v>
      </c>
      <c r="Y39" t="s">
        <v>40</v>
      </c>
      <c r="Z39">
        <v>19964.92</v>
      </c>
      <c r="AA39" s="2">
        <f t="shared" si="0"/>
        <v>4.14502036572148</v>
      </c>
      <c r="AB39" t="s">
        <v>40</v>
      </c>
      <c r="AC39" t="s">
        <v>100</v>
      </c>
      <c r="AD39" t="s">
        <v>40</v>
      </c>
      <c r="AE39" t="s">
        <v>142</v>
      </c>
      <c r="AF39" t="s">
        <v>40</v>
      </c>
      <c r="AG39" t="s">
        <v>40</v>
      </c>
      <c r="AH39" t="s">
        <v>40</v>
      </c>
      <c r="AI39" t="s">
        <v>40</v>
      </c>
      <c r="AJ39" t="s">
        <v>40</v>
      </c>
      <c r="AK39" t="s">
        <v>40</v>
      </c>
      <c r="AL39" t="s">
        <v>40</v>
      </c>
    </row>
    <row r="40" spans="1:38">
      <c r="A40" t="s">
        <v>347</v>
      </c>
      <c r="B40" t="s">
        <v>348</v>
      </c>
      <c r="C40" t="s">
        <v>349</v>
      </c>
      <c r="D40" t="s">
        <v>40</v>
      </c>
      <c r="E40" t="s">
        <v>40</v>
      </c>
      <c r="F40" t="s">
        <v>42</v>
      </c>
      <c r="G40" t="s">
        <v>105</v>
      </c>
      <c r="H40" t="s">
        <v>256</v>
      </c>
      <c r="I40" t="s">
        <v>257</v>
      </c>
      <c r="J40" t="s">
        <v>183</v>
      </c>
      <c r="K40" t="s">
        <v>40</v>
      </c>
      <c r="L40" t="s">
        <v>108</v>
      </c>
      <c r="M40" t="s">
        <v>350</v>
      </c>
      <c r="N40" t="s">
        <v>258</v>
      </c>
      <c r="O40" s="1">
        <v>45309</v>
      </c>
      <c r="P40" t="s">
        <v>351</v>
      </c>
      <c r="Q40" s="1">
        <v>45324</v>
      </c>
      <c r="R40" t="s">
        <v>352</v>
      </c>
      <c r="S40" t="s">
        <v>52</v>
      </c>
      <c r="T40">
        <v>23680</v>
      </c>
      <c r="U40">
        <v>0</v>
      </c>
      <c r="V40">
        <v>28320</v>
      </c>
      <c r="W40" t="s">
        <v>353</v>
      </c>
      <c r="X40">
        <v>0</v>
      </c>
      <c r="Y40">
        <v>0</v>
      </c>
      <c r="Z40">
        <v>17358.12</v>
      </c>
      <c r="AA40" s="2">
        <f t="shared" si="0"/>
        <v>1.63151309012727</v>
      </c>
      <c r="AB40" t="s">
        <v>40</v>
      </c>
      <c r="AC40" t="s">
        <v>231</v>
      </c>
      <c r="AD40" t="s">
        <v>40</v>
      </c>
      <c r="AE40" t="s">
        <v>262</v>
      </c>
      <c r="AF40" t="s">
        <v>40</v>
      </c>
      <c r="AG40" t="s">
        <v>40</v>
      </c>
      <c r="AH40" t="s">
        <v>40</v>
      </c>
      <c r="AI40" t="s">
        <v>40</v>
      </c>
      <c r="AJ40" t="s">
        <v>40</v>
      </c>
      <c r="AK40" t="s">
        <v>40</v>
      </c>
      <c r="AL40" t="s">
        <v>40</v>
      </c>
    </row>
    <row r="41" spans="1:38">
      <c r="A41" t="s">
        <v>354</v>
      </c>
      <c r="B41" t="s">
        <v>355</v>
      </c>
      <c r="C41" t="s">
        <v>356</v>
      </c>
      <c r="D41" t="s">
        <v>40</v>
      </c>
      <c r="E41" t="s">
        <v>40</v>
      </c>
      <c r="F41" t="s">
        <v>42</v>
      </c>
      <c r="G41" t="s">
        <v>105</v>
      </c>
      <c r="H41" t="s">
        <v>256</v>
      </c>
      <c r="I41" t="s">
        <v>266</v>
      </c>
      <c r="J41" t="s">
        <v>183</v>
      </c>
      <c r="K41" t="s">
        <v>40</v>
      </c>
      <c r="L41" t="s">
        <v>108</v>
      </c>
      <c r="M41" t="s">
        <v>190</v>
      </c>
      <c r="N41" t="s">
        <v>258</v>
      </c>
      <c r="O41" s="1">
        <v>44803</v>
      </c>
      <c r="P41" t="s">
        <v>357</v>
      </c>
      <c r="Q41" s="1">
        <v>44823</v>
      </c>
      <c r="R41" t="s">
        <v>358</v>
      </c>
      <c r="S41" t="s">
        <v>52</v>
      </c>
      <c r="T41">
        <v>23355</v>
      </c>
      <c r="U41">
        <v>750</v>
      </c>
      <c r="V41">
        <v>105220</v>
      </c>
      <c r="W41" t="s">
        <v>359</v>
      </c>
      <c r="X41">
        <v>0</v>
      </c>
      <c r="Y41">
        <v>0</v>
      </c>
      <c r="Z41">
        <v>1792.68</v>
      </c>
      <c r="AA41" s="2">
        <f t="shared" si="0"/>
        <v>58.6942454872035</v>
      </c>
      <c r="AB41" t="s">
        <v>40</v>
      </c>
      <c r="AC41" t="s">
        <v>100</v>
      </c>
      <c r="AD41" t="s">
        <v>40</v>
      </c>
      <c r="AE41" t="s">
        <v>262</v>
      </c>
      <c r="AF41" t="s">
        <v>40</v>
      </c>
      <c r="AG41" t="s">
        <v>40</v>
      </c>
      <c r="AH41" t="s">
        <v>40</v>
      </c>
      <c r="AI41" t="s">
        <v>40</v>
      </c>
      <c r="AJ41" t="s">
        <v>40</v>
      </c>
      <c r="AK41" t="s">
        <v>40</v>
      </c>
      <c r="AL41" t="s">
        <v>40</v>
      </c>
    </row>
    <row r="42" spans="1:38">
      <c r="A42" t="s">
        <v>360</v>
      </c>
      <c r="B42" t="s">
        <v>361</v>
      </c>
      <c r="C42" t="s">
        <v>362</v>
      </c>
      <c r="D42" t="s">
        <v>40</v>
      </c>
      <c r="E42" t="s">
        <v>40</v>
      </c>
      <c r="F42" t="s">
        <v>42</v>
      </c>
      <c r="G42" t="s">
        <v>105</v>
      </c>
      <c r="H42" t="s">
        <v>256</v>
      </c>
      <c r="I42" t="s">
        <v>266</v>
      </c>
      <c r="J42" t="s">
        <v>183</v>
      </c>
      <c r="K42" t="s">
        <v>40</v>
      </c>
      <c r="L42" t="s">
        <v>121</v>
      </c>
      <c r="M42" t="s">
        <v>190</v>
      </c>
      <c r="N42" t="s">
        <v>258</v>
      </c>
      <c r="O42" s="1">
        <v>44896</v>
      </c>
      <c r="P42" t="s">
        <v>363</v>
      </c>
      <c r="Q42" s="1">
        <v>44923</v>
      </c>
      <c r="R42" t="s">
        <v>364</v>
      </c>
      <c r="S42" t="s">
        <v>52</v>
      </c>
      <c r="T42">
        <v>20975</v>
      </c>
      <c r="U42">
        <v>0</v>
      </c>
      <c r="V42">
        <v>29165</v>
      </c>
      <c r="W42" t="s">
        <v>365</v>
      </c>
      <c r="X42">
        <v>0</v>
      </c>
      <c r="Y42">
        <v>0</v>
      </c>
      <c r="Z42">
        <v>456.36</v>
      </c>
      <c r="AA42" s="2">
        <f t="shared" si="0"/>
        <v>63.9078797440617</v>
      </c>
      <c r="AB42" t="s">
        <v>40</v>
      </c>
      <c r="AC42" t="s">
        <v>100</v>
      </c>
      <c r="AD42" t="s">
        <v>40</v>
      </c>
      <c r="AE42" t="s">
        <v>262</v>
      </c>
      <c r="AF42" t="s">
        <v>40</v>
      </c>
      <c r="AG42" t="s">
        <v>40</v>
      </c>
      <c r="AH42" t="s">
        <v>40</v>
      </c>
      <c r="AI42" t="s">
        <v>40</v>
      </c>
      <c r="AJ42" t="s">
        <v>40</v>
      </c>
      <c r="AK42" t="s">
        <v>40</v>
      </c>
      <c r="AL42" t="s">
        <v>40</v>
      </c>
    </row>
    <row r="43" spans="1:38">
      <c r="A43" t="s">
        <v>366</v>
      </c>
      <c r="B43" t="s">
        <v>367</v>
      </c>
      <c r="C43" t="s">
        <v>368</v>
      </c>
      <c r="D43" t="s">
        <v>40</v>
      </c>
      <c r="E43" t="s">
        <v>40</v>
      </c>
      <c r="F43" t="s">
        <v>42</v>
      </c>
      <c r="G43" t="s">
        <v>105</v>
      </c>
      <c r="H43" t="s">
        <v>256</v>
      </c>
      <c r="I43" t="s">
        <v>257</v>
      </c>
      <c r="J43" t="s">
        <v>183</v>
      </c>
      <c r="K43" t="s">
        <v>40</v>
      </c>
      <c r="L43" t="s">
        <v>121</v>
      </c>
      <c r="M43" t="s">
        <v>190</v>
      </c>
      <c r="N43" t="s">
        <v>258</v>
      </c>
      <c r="O43" s="1">
        <v>44791</v>
      </c>
      <c r="P43" t="s">
        <v>369</v>
      </c>
      <c r="Q43" s="1">
        <v>44818</v>
      </c>
      <c r="R43" t="s">
        <v>268</v>
      </c>
      <c r="S43" t="s">
        <v>52</v>
      </c>
      <c r="T43">
        <v>20880</v>
      </c>
      <c r="U43">
        <v>9910</v>
      </c>
      <c r="V43">
        <v>206410</v>
      </c>
      <c r="W43" t="s">
        <v>370</v>
      </c>
      <c r="X43">
        <v>1</v>
      </c>
      <c r="Y43">
        <v>0</v>
      </c>
      <c r="Z43">
        <v>7414.89</v>
      </c>
      <c r="AA43" s="2">
        <f t="shared" si="0"/>
        <v>27.8372302218914</v>
      </c>
      <c r="AB43" t="s">
        <v>40</v>
      </c>
      <c r="AC43" t="s">
        <v>100</v>
      </c>
      <c r="AD43" t="s">
        <v>40</v>
      </c>
      <c r="AE43" t="s">
        <v>262</v>
      </c>
      <c r="AF43" t="s">
        <v>40</v>
      </c>
      <c r="AG43" t="s">
        <v>40</v>
      </c>
      <c r="AH43" t="s">
        <v>40</v>
      </c>
      <c r="AI43" t="s">
        <v>40</v>
      </c>
      <c r="AJ43" t="s">
        <v>40</v>
      </c>
      <c r="AK43" t="s">
        <v>40</v>
      </c>
      <c r="AL43" t="s">
        <v>40</v>
      </c>
    </row>
    <row r="44" spans="1:38">
      <c r="A44" t="s">
        <v>371</v>
      </c>
      <c r="B44" t="s">
        <v>372</v>
      </c>
      <c r="C44" t="s">
        <v>373</v>
      </c>
      <c r="D44" t="s">
        <v>170</v>
      </c>
      <c r="E44" t="s">
        <v>40</v>
      </c>
      <c r="F44" t="s">
        <v>42</v>
      </c>
      <c r="G44" t="s">
        <v>43</v>
      </c>
      <c r="H44" t="s">
        <v>146</v>
      </c>
      <c r="I44" t="s">
        <v>40</v>
      </c>
      <c r="J44" t="s">
        <v>183</v>
      </c>
      <c r="K44" t="s">
        <v>83</v>
      </c>
      <c r="L44" t="s">
        <v>315</v>
      </c>
      <c r="M44" t="s">
        <v>149</v>
      </c>
      <c r="N44" t="s">
        <v>374</v>
      </c>
      <c r="O44" s="1">
        <v>45776</v>
      </c>
      <c r="P44" t="s">
        <v>375</v>
      </c>
      <c r="Q44" t="s">
        <v>40</v>
      </c>
      <c r="R44" t="s">
        <v>40</v>
      </c>
      <c r="S44" t="s">
        <v>52</v>
      </c>
      <c r="T44">
        <v>20020</v>
      </c>
      <c r="U44">
        <v>5250</v>
      </c>
      <c r="V44">
        <v>25270</v>
      </c>
      <c r="W44" t="s">
        <v>376</v>
      </c>
      <c r="X44">
        <v>0</v>
      </c>
      <c r="Y44">
        <v>0</v>
      </c>
      <c r="Z44">
        <v>29528.77</v>
      </c>
      <c r="AA44" s="2">
        <f t="shared" si="0"/>
        <v>0.855775570739994</v>
      </c>
      <c r="AB44" t="s">
        <v>40</v>
      </c>
      <c r="AC44" t="s">
        <v>231</v>
      </c>
      <c r="AD44" t="s">
        <v>40</v>
      </c>
      <c r="AE44" t="s">
        <v>153</v>
      </c>
      <c r="AF44" t="s">
        <v>187</v>
      </c>
      <c r="AG44" t="s">
        <v>40</v>
      </c>
      <c r="AH44" t="s">
        <v>40</v>
      </c>
      <c r="AI44" t="s">
        <v>40</v>
      </c>
      <c r="AJ44" t="s">
        <v>40</v>
      </c>
      <c r="AK44" t="s">
        <v>40</v>
      </c>
      <c r="AL44" t="s">
        <v>40</v>
      </c>
    </row>
    <row r="45" spans="1:38">
      <c r="A45" t="s">
        <v>377</v>
      </c>
      <c r="B45" t="s">
        <v>378</v>
      </c>
      <c r="C45" t="s">
        <v>379</v>
      </c>
      <c r="D45" t="s">
        <v>170</v>
      </c>
      <c r="E45" t="s">
        <v>40</v>
      </c>
      <c r="F45" t="s">
        <v>42</v>
      </c>
      <c r="G45" t="s">
        <v>105</v>
      </c>
      <c r="H45" t="s">
        <v>380</v>
      </c>
      <c r="I45" t="s">
        <v>381</v>
      </c>
      <c r="J45" t="s">
        <v>46</v>
      </c>
      <c r="K45" t="s">
        <v>40</v>
      </c>
      <c r="L45" t="s">
        <v>108</v>
      </c>
      <c r="M45" t="s">
        <v>109</v>
      </c>
      <c r="N45" t="s">
        <v>49</v>
      </c>
      <c r="O45" s="1">
        <v>44956</v>
      </c>
      <c r="P45" t="s">
        <v>382</v>
      </c>
      <c r="Q45" s="1">
        <v>45019</v>
      </c>
      <c r="R45" t="s">
        <v>383</v>
      </c>
      <c r="S45" t="s">
        <v>277</v>
      </c>
      <c r="T45">
        <v>20000</v>
      </c>
      <c r="U45">
        <v>0</v>
      </c>
      <c r="V45">
        <v>20585</v>
      </c>
      <c r="W45" t="s">
        <v>384</v>
      </c>
      <c r="X45">
        <v>0</v>
      </c>
      <c r="Y45">
        <v>0</v>
      </c>
      <c r="Z45">
        <v>1995.68</v>
      </c>
      <c r="AA45" s="2">
        <f t="shared" si="0"/>
        <v>10.3147799246372</v>
      </c>
      <c r="AB45" t="s">
        <v>40</v>
      </c>
      <c r="AC45" t="s">
        <v>100</v>
      </c>
      <c r="AD45" t="s">
        <v>40</v>
      </c>
      <c r="AE45" t="s">
        <v>385</v>
      </c>
      <c r="AF45" t="s">
        <v>40</v>
      </c>
      <c r="AG45" t="s">
        <v>40</v>
      </c>
      <c r="AH45" t="s">
        <v>40</v>
      </c>
      <c r="AI45" t="s">
        <v>40</v>
      </c>
      <c r="AJ45" t="s">
        <v>40</v>
      </c>
      <c r="AK45" t="s">
        <v>40</v>
      </c>
      <c r="AL45" t="s">
        <v>40</v>
      </c>
    </row>
    <row r="46" spans="1:38">
      <c r="A46" t="s">
        <v>386</v>
      </c>
      <c r="B46" t="s">
        <v>387</v>
      </c>
      <c r="C46" t="s">
        <v>388</v>
      </c>
      <c r="D46" t="s">
        <v>40</v>
      </c>
      <c r="E46" t="s">
        <v>40</v>
      </c>
      <c r="F46" t="s">
        <v>42</v>
      </c>
      <c r="G46" t="s">
        <v>105</v>
      </c>
      <c r="H46" t="s">
        <v>256</v>
      </c>
      <c r="I46" t="s">
        <v>257</v>
      </c>
      <c r="J46" t="s">
        <v>183</v>
      </c>
      <c r="K46" t="s">
        <v>121</v>
      </c>
      <c r="L46" t="s">
        <v>121</v>
      </c>
      <c r="M46" t="s">
        <v>190</v>
      </c>
      <c r="N46" t="s">
        <v>258</v>
      </c>
      <c r="O46" s="1">
        <v>44699</v>
      </c>
      <c r="P46" t="s">
        <v>389</v>
      </c>
      <c r="Q46" s="1">
        <v>44708</v>
      </c>
      <c r="R46" t="s">
        <v>390</v>
      </c>
      <c r="S46" t="s">
        <v>52</v>
      </c>
      <c r="T46">
        <v>19130</v>
      </c>
      <c r="U46">
        <v>8840</v>
      </c>
      <c r="V46">
        <v>47260</v>
      </c>
      <c r="W46" t="s">
        <v>391</v>
      </c>
      <c r="X46">
        <v>0</v>
      </c>
      <c r="Y46">
        <v>0</v>
      </c>
      <c r="Z46">
        <v>6869.68</v>
      </c>
      <c r="AA46" s="2">
        <f t="shared" si="0"/>
        <v>6.87950530446833</v>
      </c>
      <c r="AB46" t="s">
        <v>40</v>
      </c>
      <c r="AC46" t="s">
        <v>100</v>
      </c>
      <c r="AD46" t="s">
        <v>40</v>
      </c>
      <c r="AE46" t="s">
        <v>262</v>
      </c>
      <c r="AF46" t="s">
        <v>40</v>
      </c>
      <c r="AG46" t="s">
        <v>40</v>
      </c>
      <c r="AH46" t="s">
        <v>40</v>
      </c>
      <c r="AI46" t="s">
        <v>40</v>
      </c>
      <c r="AJ46" t="s">
        <v>40</v>
      </c>
      <c r="AK46" t="s">
        <v>40</v>
      </c>
      <c r="AL46" t="s">
        <v>40</v>
      </c>
    </row>
    <row r="47" spans="1:38">
      <c r="A47" t="s">
        <v>392</v>
      </c>
      <c r="B47" t="s">
        <v>393</v>
      </c>
      <c r="C47" t="s">
        <v>394</v>
      </c>
      <c r="D47" t="s">
        <v>40</v>
      </c>
      <c r="E47" t="s">
        <v>395</v>
      </c>
      <c r="F47" t="s">
        <v>42</v>
      </c>
      <c r="G47" t="s">
        <v>43</v>
      </c>
      <c r="H47" t="s">
        <v>146</v>
      </c>
      <c r="I47" t="s">
        <v>182</v>
      </c>
      <c r="J47" t="s">
        <v>46</v>
      </c>
      <c r="K47" t="s">
        <v>40</v>
      </c>
      <c r="L47" t="s">
        <v>148</v>
      </c>
      <c r="M47" t="s">
        <v>149</v>
      </c>
      <c r="N47" t="s">
        <v>49</v>
      </c>
      <c r="O47" s="1">
        <v>45593</v>
      </c>
      <c r="P47" t="s">
        <v>396</v>
      </c>
      <c r="Q47" s="1">
        <v>45611</v>
      </c>
      <c r="R47" t="s">
        <v>397</v>
      </c>
      <c r="S47" t="s">
        <v>52</v>
      </c>
      <c r="T47">
        <v>19055</v>
      </c>
      <c r="U47">
        <v>1500</v>
      </c>
      <c r="V47">
        <v>20555</v>
      </c>
      <c r="W47" t="s">
        <v>40</v>
      </c>
      <c r="X47" t="s">
        <v>40</v>
      </c>
      <c r="Y47" t="s">
        <v>40</v>
      </c>
      <c r="Z47">
        <v>22824.74</v>
      </c>
      <c r="AA47" s="2">
        <f t="shared" si="0"/>
        <v>0.900557903397804</v>
      </c>
      <c r="AB47" t="s">
        <v>40</v>
      </c>
      <c r="AC47" t="s">
        <v>231</v>
      </c>
      <c r="AD47" t="s">
        <v>40</v>
      </c>
      <c r="AE47" t="s">
        <v>153</v>
      </c>
      <c r="AF47" t="s">
        <v>187</v>
      </c>
      <c r="AG47" t="s">
        <v>40</v>
      </c>
      <c r="AH47" t="s">
        <v>40</v>
      </c>
      <c r="AI47" t="s">
        <v>40</v>
      </c>
      <c r="AJ47" t="s">
        <v>40</v>
      </c>
      <c r="AK47" t="s">
        <v>40</v>
      </c>
      <c r="AL47" t="s">
        <v>40</v>
      </c>
    </row>
    <row r="48" spans="1:38">
      <c r="A48" t="s">
        <v>398</v>
      </c>
      <c r="B48" t="s">
        <v>399</v>
      </c>
      <c r="C48" t="s">
        <v>400</v>
      </c>
      <c r="D48" t="s">
        <v>40</v>
      </c>
      <c r="E48" t="s">
        <v>40</v>
      </c>
      <c r="F48" t="s">
        <v>42</v>
      </c>
      <c r="G48" t="s">
        <v>196</v>
      </c>
      <c r="H48" t="s">
        <v>137</v>
      </c>
      <c r="I48" t="s">
        <v>401</v>
      </c>
      <c r="J48" t="s">
        <v>46</v>
      </c>
      <c r="K48" t="s">
        <v>40</v>
      </c>
      <c r="L48" t="s">
        <v>197</v>
      </c>
      <c r="M48" t="s">
        <v>139</v>
      </c>
      <c r="N48" t="s">
        <v>198</v>
      </c>
      <c r="O48" s="1">
        <v>44294</v>
      </c>
      <c r="P48" t="s">
        <v>402</v>
      </c>
      <c r="Q48" s="1">
        <v>44317</v>
      </c>
      <c r="R48" t="s">
        <v>403</v>
      </c>
      <c r="S48" t="s">
        <v>52</v>
      </c>
      <c r="T48">
        <v>17675</v>
      </c>
      <c r="U48">
        <v>6200</v>
      </c>
      <c r="V48">
        <v>217515</v>
      </c>
      <c r="W48" t="s">
        <v>404</v>
      </c>
      <c r="X48">
        <v>2</v>
      </c>
      <c r="Y48">
        <v>0</v>
      </c>
      <c r="Z48">
        <v>7701.85</v>
      </c>
      <c r="AA48" s="2">
        <f t="shared" si="0"/>
        <v>28.2419159033219</v>
      </c>
      <c r="AB48" t="s">
        <v>40</v>
      </c>
      <c r="AC48" t="s">
        <v>100</v>
      </c>
      <c r="AD48" t="s">
        <v>40</v>
      </c>
      <c r="AE48" t="s">
        <v>142</v>
      </c>
      <c r="AF48" t="s">
        <v>40</v>
      </c>
      <c r="AG48" t="s">
        <v>40</v>
      </c>
      <c r="AH48" t="s">
        <v>40</v>
      </c>
      <c r="AI48" t="s">
        <v>40</v>
      </c>
      <c r="AJ48" t="s">
        <v>40</v>
      </c>
      <c r="AK48" t="s">
        <v>40</v>
      </c>
      <c r="AL48" t="s">
        <v>40</v>
      </c>
    </row>
    <row r="49" spans="1:38">
      <c r="A49" t="s">
        <v>405</v>
      </c>
      <c r="B49" t="s">
        <v>406</v>
      </c>
      <c r="C49" t="s">
        <v>407</v>
      </c>
      <c r="D49" t="s">
        <v>40</v>
      </c>
      <c r="E49" t="s">
        <v>40</v>
      </c>
      <c r="F49" t="s">
        <v>42</v>
      </c>
      <c r="G49" t="s">
        <v>43</v>
      </c>
      <c r="H49" t="s">
        <v>44</v>
      </c>
      <c r="I49" t="s">
        <v>68</v>
      </c>
      <c r="J49" t="s">
        <v>46</v>
      </c>
      <c r="K49" t="s">
        <v>40</v>
      </c>
      <c r="L49" t="s">
        <v>47</v>
      </c>
      <c r="M49" t="s">
        <v>48</v>
      </c>
      <c r="N49" t="s">
        <v>49</v>
      </c>
      <c r="O49" s="1">
        <v>44566</v>
      </c>
      <c r="P49" t="s">
        <v>408</v>
      </c>
      <c r="Q49" s="1">
        <v>44631</v>
      </c>
      <c r="R49" t="s">
        <v>409</v>
      </c>
      <c r="S49" t="s">
        <v>52</v>
      </c>
      <c r="T49">
        <v>16795</v>
      </c>
      <c r="U49">
        <v>600</v>
      </c>
      <c r="V49">
        <v>81580</v>
      </c>
      <c r="W49" t="s">
        <v>410</v>
      </c>
      <c r="X49">
        <v>0</v>
      </c>
      <c r="Y49">
        <v>0</v>
      </c>
      <c r="Z49">
        <v>5759.45</v>
      </c>
      <c r="AA49" s="2">
        <f t="shared" si="0"/>
        <v>14.1645469619495</v>
      </c>
      <c r="AB49" t="s">
        <v>40</v>
      </c>
      <c r="AC49" t="s">
        <v>54</v>
      </c>
      <c r="AD49" t="s">
        <v>40</v>
      </c>
      <c r="AE49" t="s">
        <v>55</v>
      </c>
      <c r="AF49" t="s">
        <v>40</v>
      </c>
      <c r="AG49" t="s">
        <v>40</v>
      </c>
      <c r="AH49" t="s">
        <v>40</v>
      </c>
      <c r="AI49" t="s">
        <v>40</v>
      </c>
      <c r="AJ49" t="s">
        <v>40</v>
      </c>
      <c r="AK49" t="s">
        <v>40</v>
      </c>
      <c r="AL49" t="s">
        <v>40</v>
      </c>
    </row>
    <row r="50" spans="1:38">
      <c r="A50" t="s">
        <v>411</v>
      </c>
      <c r="B50" t="s">
        <v>412</v>
      </c>
      <c r="C50" t="s">
        <v>413</v>
      </c>
      <c r="D50" t="s">
        <v>170</v>
      </c>
      <c r="E50" t="s">
        <v>40</v>
      </c>
      <c r="F50" t="s">
        <v>42</v>
      </c>
      <c r="G50" t="s">
        <v>118</v>
      </c>
      <c r="H50" t="s">
        <v>106</v>
      </c>
      <c r="I50" t="s">
        <v>414</v>
      </c>
      <c r="J50" t="s">
        <v>119</v>
      </c>
      <c r="K50" t="s">
        <v>130</v>
      </c>
      <c r="L50" t="s">
        <v>40</v>
      </c>
      <c r="M50" t="s">
        <v>415</v>
      </c>
      <c r="N50" t="s">
        <v>416</v>
      </c>
      <c r="O50" s="1">
        <v>45940</v>
      </c>
      <c r="P50" t="s">
        <v>417</v>
      </c>
      <c r="Q50" t="s">
        <v>40</v>
      </c>
      <c r="R50" t="s">
        <v>40</v>
      </c>
      <c r="S50" t="s">
        <v>52</v>
      </c>
      <c r="T50">
        <v>15375</v>
      </c>
      <c r="U50">
        <v>17967</v>
      </c>
      <c r="V50">
        <v>33342</v>
      </c>
      <c r="W50" t="s">
        <v>418</v>
      </c>
      <c r="X50" t="s">
        <v>40</v>
      </c>
      <c r="Y50" t="s">
        <v>40</v>
      </c>
      <c r="Z50">
        <v>46216.79</v>
      </c>
      <c r="AA50" s="2">
        <f t="shared" si="0"/>
        <v>0.721426131066221</v>
      </c>
      <c r="AB50" t="s">
        <v>40</v>
      </c>
      <c r="AC50" t="s">
        <v>100</v>
      </c>
      <c r="AD50" t="s">
        <v>40</v>
      </c>
      <c r="AE50" t="s">
        <v>113</v>
      </c>
      <c r="AF50" t="s">
        <v>40</v>
      </c>
      <c r="AG50" t="s">
        <v>40</v>
      </c>
      <c r="AH50" t="s">
        <v>40</v>
      </c>
      <c r="AI50" t="s">
        <v>40</v>
      </c>
      <c r="AJ50" t="s">
        <v>40</v>
      </c>
      <c r="AK50" t="s">
        <v>40</v>
      </c>
      <c r="AL50" t="s">
        <v>40</v>
      </c>
    </row>
    <row r="51" spans="1:38">
      <c r="A51" t="s">
        <v>419</v>
      </c>
      <c r="B51" t="s">
        <v>420</v>
      </c>
      <c r="C51" t="s">
        <v>421</v>
      </c>
      <c r="D51" t="s">
        <v>40</v>
      </c>
      <c r="E51" t="s">
        <v>40</v>
      </c>
      <c r="F51" t="s">
        <v>117</v>
      </c>
      <c r="G51" t="s">
        <v>105</v>
      </c>
      <c r="H51" t="s">
        <v>44</v>
      </c>
      <c r="I51" t="s">
        <v>40</v>
      </c>
      <c r="J51" t="s">
        <v>46</v>
      </c>
      <c r="K51" t="s">
        <v>40</v>
      </c>
      <c r="L51" t="s">
        <v>422</v>
      </c>
      <c r="M51" t="s">
        <v>423</v>
      </c>
      <c r="N51" t="s">
        <v>61</v>
      </c>
      <c r="O51" s="1">
        <v>45629</v>
      </c>
      <c r="P51" t="s">
        <v>424</v>
      </c>
      <c r="Q51" s="1">
        <v>45653</v>
      </c>
      <c r="R51" t="s">
        <v>425</v>
      </c>
      <c r="S51" t="s">
        <v>52</v>
      </c>
      <c r="T51">
        <v>10250</v>
      </c>
      <c r="U51">
        <v>2700</v>
      </c>
      <c r="V51">
        <v>17800</v>
      </c>
      <c r="W51" t="s">
        <v>426</v>
      </c>
      <c r="X51">
        <v>1</v>
      </c>
      <c r="Y51">
        <v>0</v>
      </c>
      <c r="Z51">
        <v>21554.59</v>
      </c>
      <c r="AA51" s="2">
        <f t="shared" si="0"/>
        <v>0.825810187064565</v>
      </c>
      <c r="AB51">
        <v>186.96</v>
      </c>
      <c r="AC51" t="s">
        <v>54</v>
      </c>
      <c r="AD51" t="s">
        <v>40</v>
      </c>
      <c r="AE51" t="s">
        <v>55</v>
      </c>
      <c r="AF51" t="s">
        <v>40</v>
      </c>
      <c r="AG51" t="s">
        <v>40</v>
      </c>
      <c r="AH51" t="s">
        <v>40</v>
      </c>
      <c r="AI51" t="s">
        <v>40</v>
      </c>
      <c r="AJ51" t="s">
        <v>40</v>
      </c>
      <c r="AK51" t="s">
        <v>40</v>
      </c>
      <c r="AL51" t="s">
        <v>40</v>
      </c>
    </row>
    <row r="52" spans="1:38">
      <c r="A52" t="s">
        <v>427</v>
      </c>
      <c r="B52" t="s">
        <v>428</v>
      </c>
      <c r="C52" t="s">
        <v>429</v>
      </c>
      <c r="D52" t="s">
        <v>40</v>
      </c>
      <c r="E52" t="s">
        <v>430</v>
      </c>
      <c r="F52" t="s">
        <v>59</v>
      </c>
      <c r="G52" t="s">
        <v>105</v>
      </c>
      <c r="H52" t="s">
        <v>256</v>
      </c>
      <c r="I52" t="s">
        <v>266</v>
      </c>
      <c r="J52" t="s">
        <v>46</v>
      </c>
      <c r="K52" t="s">
        <v>40</v>
      </c>
      <c r="L52" t="s">
        <v>121</v>
      </c>
      <c r="M52" t="s">
        <v>190</v>
      </c>
      <c r="N52" t="s">
        <v>431</v>
      </c>
      <c r="O52" s="1">
        <v>45812</v>
      </c>
      <c r="P52" t="s">
        <v>432</v>
      </c>
      <c r="Q52" t="s">
        <v>40</v>
      </c>
      <c r="R52" t="s">
        <v>40</v>
      </c>
      <c r="S52" t="s">
        <v>277</v>
      </c>
      <c r="T52">
        <v>10135</v>
      </c>
      <c r="U52">
        <v>0</v>
      </c>
      <c r="V52">
        <v>10135</v>
      </c>
      <c r="W52" t="s">
        <v>433</v>
      </c>
      <c r="X52">
        <v>0</v>
      </c>
      <c r="Y52">
        <v>0</v>
      </c>
      <c r="Z52">
        <v>12057.37</v>
      </c>
      <c r="AA52" s="2">
        <f t="shared" si="0"/>
        <v>0.840564733436894</v>
      </c>
      <c r="AB52" t="s">
        <v>40</v>
      </c>
      <c r="AC52" t="s">
        <v>231</v>
      </c>
      <c r="AD52" t="s">
        <v>40</v>
      </c>
      <c r="AE52" t="s">
        <v>262</v>
      </c>
      <c r="AF52" t="s">
        <v>40</v>
      </c>
      <c r="AG52" t="s">
        <v>40</v>
      </c>
      <c r="AH52" t="s">
        <v>40</v>
      </c>
      <c r="AI52" t="s">
        <v>40</v>
      </c>
      <c r="AJ52" t="s">
        <v>40</v>
      </c>
      <c r="AK52" t="s">
        <v>40</v>
      </c>
      <c r="AL52" t="s">
        <v>40</v>
      </c>
    </row>
    <row r="53" spans="1:38">
      <c r="A53" t="s">
        <v>434</v>
      </c>
      <c r="B53" t="s">
        <v>435</v>
      </c>
      <c r="C53" t="s">
        <v>436</v>
      </c>
      <c r="D53" t="s">
        <v>170</v>
      </c>
      <c r="E53" t="s">
        <v>40</v>
      </c>
      <c r="F53" t="s">
        <v>42</v>
      </c>
      <c r="G53" t="s">
        <v>43</v>
      </c>
      <c r="H53" t="s">
        <v>146</v>
      </c>
      <c r="I53" t="s">
        <v>182</v>
      </c>
      <c r="J53" t="s">
        <v>183</v>
      </c>
      <c r="K53" t="s">
        <v>83</v>
      </c>
      <c r="L53" t="s">
        <v>315</v>
      </c>
      <c r="M53" t="s">
        <v>149</v>
      </c>
      <c r="N53" t="s">
        <v>374</v>
      </c>
      <c r="O53" s="1">
        <v>45726</v>
      </c>
      <c r="P53" t="s">
        <v>437</v>
      </c>
      <c r="Q53" t="s">
        <v>40</v>
      </c>
      <c r="R53" t="s">
        <v>40</v>
      </c>
      <c r="S53" t="s">
        <v>52</v>
      </c>
      <c r="T53">
        <v>9040</v>
      </c>
      <c r="U53">
        <v>3450</v>
      </c>
      <c r="V53">
        <v>12490</v>
      </c>
      <c r="W53" t="s">
        <v>438</v>
      </c>
      <c r="X53">
        <v>0</v>
      </c>
      <c r="Y53">
        <v>0</v>
      </c>
      <c r="Z53">
        <v>22112.57</v>
      </c>
      <c r="AA53" s="2">
        <f t="shared" si="0"/>
        <v>0.564837103963944</v>
      </c>
      <c r="AB53" t="s">
        <v>40</v>
      </c>
      <c r="AC53" t="s">
        <v>231</v>
      </c>
      <c r="AD53" t="s">
        <v>40</v>
      </c>
      <c r="AE53" t="s">
        <v>153</v>
      </c>
      <c r="AF53" t="s">
        <v>187</v>
      </c>
      <c r="AG53" t="s">
        <v>40</v>
      </c>
      <c r="AH53" t="s">
        <v>40</v>
      </c>
      <c r="AI53" t="s">
        <v>40</v>
      </c>
      <c r="AJ53" t="s">
        <v>40</v>
      </c>
      <c r="AK53" t="s">
        <v>40</v>
      </c>
      <c r="AL53" t="s">
        <v>40</v>
      </c>
    </row>
    <row r="54" spans="1:38">
      <c r="A54" t="s">
        <v>439</v>
      </c>
      <c r="B54" t="s">
        <v>440</v>
      </c>
      <c r="C54" t="s">
        <v>441</v>
      </c>
      <c r="D54" t="s">
        <v>40</v>
      </c>
      <c r="E54" t="s">
        <v>442</v>
      </c>
      <c r="F54" t="s">
        <v>42</v>
      </c>
      <c r="G54" t="s">
        <v>105</v>
      </c>
      <c r="H54" t="s">
        <v>443</v>
      </c>
      <c r="I54" t="s">
        <v>444</v>
      </c>
      <c r="J54" t="s">
        <v>183</v>
      </c>
      <c r="K54" t="s">
        <v>40</v>
      </c>
      <c r="L54" t="s">
        <v>121</v>
      </c>
      <c r="M54" t="s">
        <v>445</v>
      </c>
      <c r="N54" t="s">
        <v>258</v>
      </c>
      <c r="O54" s="1">
        <v>44985</v>
      </c>
      <c r="P54" t="s">
        <v>446</v>
      </c>
      <c r="Q54" s="1">
        <v>45014</v>
      </c>
      <c r="R54" t="s">
        <v>447</v>
      </c>
      <c r="S54" t="s">
        <v>52</v>
      </c>
      <c r="T54">
        <v>8575</v>
      </c>
      <c r="U54">
        <v>0</v>
      </c>
      <c r="V54">
        <v>26710</v>
      </c>
      <c r="W54" t="s">
        <v>448</v>
      </c>
      <c r="X54">
        <v>0</v>
      </c>
      <c r="Y54">
        <v>0</v>
      </c>
      <c r="Z54">
        <v>6095.09</v>
      </c>
      <c r="AA54" s="2">
        <f t="shared" si="0"/>
        <v>4.38221584915071</v>
      </c>
      <c r="AB54" t="s">
        <v>40</v>
      </c>
      <c r="AC54" t="s">
        <v>100</v>
      </c>
      <c r="AD54" t="s">
        <v>40</v>
      </c>
      <c r="AE54" t="s">
        <v>449</v>
      </c>
      <c r="AF54" t="s">
        <v>40</v>
      </c>
      <c r="AG54" t="s">
        <v>40</v>
      </c>
      <c r="AH54" t="s">
        <v>40</v>
      </c>
      <c r="AI54" t="s">
        <v>40</v>
      </c>
      <c r="AJ54" t="s">
        <v>40</v>
      </c>
      <c r="AK54" t="s">
        <v>40</v>
      </c>
      <c r="AL54" t="s">
        <v>40</v>
      </c>
    </row>
    <row r="55" spans="1:38">
      <c r="A55" t="s">
        <v>450</v>
      </c>
      <c r="B55" t="s">
        <v>451</v>
      </c>
      <c r="C55" t="s">
        <v>452</v>
      </c>
      <c r="D55" t="s">
        <v>40</v>
      </c>
      <c r="E55" t="s">
        <v>40</v>
      </c>
      <c r="F55" t="s">
        <v>42</v>
      </c>
      <c r="G55" t="s">
        <v>105</v>
      </c>
      <c r="H55" t="s">
        <v>443</v>
      </c>
      <c r="I55" t="s">
        <v>453</v>
      </c>
      <c r="J55" t="s">
        <v>183</v>
      </c>
      <c r="K55" t="s">
        <v>454</v>
      </c>
      <c r="L55" t="s">
        <v>121</v>
      </c>
      <c r="M55" t="s">
        <v>445</v>
      </c>
      <c r="N55" t="s">
        <v>258</v>
      </c>
      <c r="O55" s="1">
        <v>44516</v>
      </c>
      <c r="P55" t="s">
        <v>455</v>
      </c>
      <c r="Q55" s="1">
        <v>44533</v>
      </c>
      <c r="R55" t="s">
        <v>456</v>
      </c>
      <c r="S55" t="s">
        <v>52</v>
      </c>
      <c r="T55">
        <v>6372.65</v>
      </c>
      <c r="U55">
        <v>1280</v>
      </c>
      <c r="V55">
        <v>103717.65</v>
      </c>
      <c r="W55" t="s">
        <v>457</v>
      </c>
      <c r="X55">
        <v>1</v>
      </c>
      <c r="Y55">
        <v>0</v>
      </c>
      <c r="Z55">
        <v>20266.15</v>
      </c>
      <c r="AA55" s="2">
        <f t="shared" si="0"/>
        <v>5.11777767360845</v>
      </c>
      <c r="AB55" t="s">
        <v>40</v>
      </c>
      <c r="AC55" t="s">
        <v>100</v>
      </c>
      <c r="AD55" t="s">
        <v>40</v>
      </c>
      <c r="AE55" t="s">
        <v>449</v>
      </c>
      <c r="AF55" t="s">
        <v>40</v>
      </c>
      <c r="AG55" t="s">
        <v>40</v>
      </c>
      <c r="AH55" t="s">
        <v>40</v>
      </c>
      <c r="AI55" t="s">
        <v>40</v>
      </c>
      <c r="AJ55" t="s">
        <v>40</v>
      </c>
      <c r="AK55" t="s">
        <v>40</v>
      </c>
      <c r="AL55" t="s">
        <v>40</v>
      </c>
    </row>
    <row r="56" spans="1:38">
      <c r="A56" t="s">
        <v>458</v>
      </c>
      <c r="B56" t="s">
        <v>459</v>
      </c>
      <c r="C56" t="s">
        <v>460</v>
      </c>
      <c r="D56" t="s">
        <v>40</v>
      </c>
      <c r="E56" t="s">
        <v>40</v>
      </c>
      <c r="F56" t="s">
        <v>42</v>
      </c>
      <c r="G56" t="s">
        <v>105</v>
      </c>
      <c r="H56" t="s">
        <v>443</v>
      </c>
      <c r="I56" t="s">
        <v>461</v>
      </c>
      <c r="J56" t="s">
        <v>183</v>
      </c>
      <c r="K56" t="s">
        <v>40</v>
      </c>
      <c r="L56" t="s">
        <v>121</v>
      </c>
      <c r="M56" t="s">
        <v>445</v>
      </c>
      <c r="N56" t="s">
        <v>258</v>
      </c>
      <c r="O56" s="1">
        <v>44606</v>
      </c>
      <c r="P56" t="s">
        <v>462</v>
      </c>
      <c r="Q56" s="1">
        <v>44631</v>
      </c>
      <c r="R56" t="s">
        <v>409</v>
      </c>
      <c r="S56" t="s">
        <v>52</v>
      </c>
      <c r="T56">
        <v>6095</v>
      </c>
      <c r="U56">
        <v>960</v>
      </c>
      <c r="V56">
        <v>17925</v>
      </c>
      <c r="W56" t="s">
        <v>463</v>
      </c>
      <c r="X56">
        <v>0</v>
      </c>
      <c r="Y56">
        <v>0</v>
      </c>
      <c r="Z56">
        <v>7958.13</v>
      </c>
      <c r="AA56" s="2">
        <f t="shared" si="0"/>
        <v>2.25241356951947</v>
      </c>
      <c r="AB56" t="s">
        <v>40</v>
      </c>
      <c r="AC56" t="s">
        <v>304</v>
      </c>
      <c r="AD56" t="s">
        <v>40</v>
      </c>
      <c r="AE56" t="s">
        <v>449</v>
      </c>
      <c r="AF56" t="s">
        <v>40</v>
      </c>
      <c r="AG56" t="s">
        <v>40</v>
      </c>
      <c r="AH56" t="s">
        <v>40</v>
      </c>
      <c r="AI56" t="s">
        <v>40</v>
      </c>
      <c r="AJ56" t="s">
        <v>40</v>
      </c>
      <c r="AK56" t="s">
        <v>40</v>
      </c>
      <c r="AL56" t="s">
        <v>40</v>
      </c>
    </row>
    <row r="57" spans="1:38">
      <c r="A57" t="s">
        <v>464</v>
      </c>
      <c r="B57" t="s">
        <v>465</v>
      </c>
      <c r="C57" t="s">
        <v>466</v>
      </c>
      <c r="D57" t="s">
        <v>40</v>
      </c>
      <c r="E57" t="s">
        <v>40</v>
      </c>
      <c r="F57" t="s">
        <v>59</v>
      </c>
      <c r="G57" t="s">
        <v>105</v>
      </c>
      <c r="H57" t="s">
        <v>443</v>
      </c>
      <c r="I57" t="s">
        <v>467</v>
      </c>
      <c r="J57" t="s">
        <v>119</v>
      </c>
      <c r="K57" t="s">
        <v>83</v>
      </c>
      <c r="L57" t="s">
        <v>121</v>
      </c>
      <c r="M57" t="s">
        <v>445</v>
      </c>
      <c r="N57" t="s">
        <v>468</v>
      </c>
      <c r="O57" s="1">
        <v>45736</v>
      </c>
      <c r="P57" t="s">
        <v>469</v>
      </c>
      <c r="Q57" t="s">
        <v>40</v>
      </c>
      <c r="R57" t="s">
        <v>40</v>
      </c>
      <c r="S57" t="s">
        <v>52</v>
      </c>
      <c r="T57">
        <v>5270</v>
      </c>
      <c r="U57">
        <v>0</v>
      </c>
      <c r="V57">
        <v>5270</v>
      </c>
      <c r="W57" t="s">
        <v>470</v>
      </c>
      <c r="X57">
        <v>0</v>
      </c>
      <c r="Y57">
        <v>0</v>
      </c>
      <c r="Z57">
        <v>29257.25</v>
      </c>
      <c r="AA57" s="2">
        <f t="shared" si="0"/>
        <v>0.180126293482812</v>
      </c>
      <c r="AB57" t="s">
        <v>40</v>
      </c>
      <c r="AC57" t="s">
        <v>231</v>
      </c>
      <c r="AD57" t="s">
        <v>40</v>
      </c>
      <c r="AE57" t="s">
        <v>449</v>
      </c>
      <c r="AF57" t="s">
        <v>40</v>
      </c>
      <c r="AG57" t="s">
        <v>40</v>
      </c>
      <c r="AH57" t="s">
        <v>40</v>
      </c>
      <c r="AI57" t="s">
        <v>40</v>
      </c>
      <c r="AJ57" t="s">
        <v>40</v>
      </c>
      <c r="AK57" t="s">
        <v>40</v>
      </c>
      <c r="AL57" t="s">
        <v>40</v>
      </c>
    </row>
    <row r="58" spans="1:38">
      <c r="A58" t="s">
        <v>471</v>
      </c>
      <c r="B58" t="s">
        <v>472</v>
      </c>
      <c r="C58" t="s">
        <v>473</v>
      </c>
      <c r="D58" t="s">
        <v>40</v>
      </c>
      <c r="E58" t="s">
        <v>40</v>
      </c>
      <c r="F58" t="s">
        <v>42</v>
      </c>
      <c r="G58" t="s">
        <v>105</v>
      </c>
      <c r="H58" t="s">
        <v>256</v>
      </c>
      <c r="I58" t="s">
        <v>474</v>
      </c>
      <c r="J58" t="s">
        <v>183</v>
      </c>
      <c r="K58" t="s">
        <v>40</v>
      </c>
      <c r="L58" t="s">
        <v>108</v>
      </c>
      <c r="M58" t="s">
        <v>190</v>
      </c>
      <c r="N58" t="s">
        <v>258</v>
      </c>
      <c r="O58" s="1">
        <v>44602</v>
      </c>
      <c r="P58" t="s">
        <v>475</v>
      </c>
      <c r="Q58" s="1">
        <v>44603</v>
      </c>
      <c r="R58" t="s">
        <v>476</v>
      </c>
      <c r="S58" t="s">
        <v>52</v>
      </c>
      <c r="T58">
        <v>5265</v>
      </c>
      <c r="U58">
        <v>0</v>
      </c>
      <c r="V58">
        <v>40360</v>
      </c>
      <c r="W58" t="s">
        <v>477</v>
      </c>
      <c r="X58">
        <v>0</v>
      </c>
      <c r="Y58">
        <v>0</v>
      </c>
      <c r="Z58">
        <v>7718.27</v>
      </c>
      <c r="AA58" s="2">
        <f t="shared" si="0"/>
        <v>5.22915109214889</v>
      </c>
      <c r="AB58" t="s">
        <v>40</v>
      </c>
      <c r="AC58" t="s">
        <v>100</v>
      </c>
      <c r="AD58" t="s">
        <v>40</v>
      </c>
      <c r="AE58" t="s">
        <v>262</v>
      </c>
      <c r="AF58" t="s">
        <v>40</v>
      </c>
      <c r="AG58" t="s">
        <v>40</v>
      </c>
      <c r="AH58" t="s">
        <v>40</v>
      </c>
      <c r="AI58" t="s">
        <v>40</v>
      </c>
      <c r="AJ58" t="s">
        <v>40</v>
      </c>
      <c r="AK58" t="s">
        <v>40</v>
      </c>
      <c r="AL58" t="s">
        <v>40</v>
      </c>
    </row>
    <row r="59" spans="1:38">
      <c r="A59" t="s">
        <v>478</v>
      </c>
      <c r="B59" t="s">
        <v>479</v>
      </c>
      <c r="C59" t="s">
        <v>480</v>
      </c>
      <c r="D59" t="s">
        <v>40</v>
      </c>
      <c r="E59" t="s">
        <v>40</v>
      </c>
      <c r="F59" t="s">
        <v>42</v>
      </c>
      <c r="G59" t="s">
        <v>105</v>
      </c>
      <c r="H59" t="s">
        <v>256</v>
      </c>
      <c r="I59" t="s">
        <v>266</v>
      </c>
      <c r="J59" t="s">
        <v>183</v>
      </c>
      <c r="K59" t="s">
        <v>40</v>
      </c>
      <c r="L59" t="s">
        <v>108</v>
      </c>
      <c r="M59" t="s">
        <v>190</v>
      </c>
      <c r="N59" t="s">
        <v>258</v>
      </c>
      <c r="O59" s="1">
        <v>45280</v>
      </c>
      <c r="P59" t="s">
        <v>481</v>
      </c>
      <c r="Q59" s="1">
        <v>45296</v>
      </c>
      <c r="R59" t="s">
        <v>259</v>
      </c>
      <c r="S59" t="s">
        <v>52</v>
      </c>
      <c r="T59">
        <v>5070</v>
      </c>
      <c r="U59">
        <v>0</v>
      </c>
      <c r="V59">
        <v>26715</v>
      </c>
      <c r="W59" t="s">
        <v>482</v>
      </c>
      <c r="X59">
        <v>0</v>
      </c>
      <c r="Y59">
        <v>0</v>
      </c>
      <c r="Z59">
        <v>5758.41</v>
      </c>
      <c r="AA59" s="2">
        <f t="shared" si="0"/>
        <v>4.63930147384434</v>
      </c>
      <c r="AB59" t="s">
        <v>40</v>
      </c>
      <c r="AC59" t="s">
        <v>100</v>
      </c>
      <c r="AD59" t="s">
        <v>40</v>
      </c>
      <c r="AE59" t="s">
        <v>262</v>
      </c>
      <c r="AF59" t="s">
        <v>40</v>
      </c>
      <c r="AG59" t="s">
        <v>40</v>
      </c>
      <c r="AH59" t="s">
        <v>40</v>
      </c>
      <c r="AI59" t="s">
        <v>40</v>
      </c>
      <c r="AJ59" t="s">
        <v>40</v>
      </c>
      <c r="AK59" t="s">
        <v>40</v>
      </c>
      <c r="AL59" t="s">
        <v>40</v>
      </c>
    </row>
    <row r="60" spans="1:38">
      <c r="A60" t="s">
        <v>483</v>
      </c>
      <c r="B60" t="s">
        <v>484</v>
      </c>
      <c r="C60" t="s">
        <v>485</v>
      </c>
      <c r="D60" t="s">
        <v>170</v>
      </c>
      <c r="E60" t="s">
        <v>40</v>
      </c>
      <c r="F60" t="s">
        <v>42</v>
      </c>
      <c r="G60" t="s">
        <v>105</v>
      </c>
      <c r="H60" t="s">
        <v>443</v>
      </c>
      <c r="I60" t="s">
        <v>461</v>
      </c>
      <c r="J60" t="s">
        <v>183</v>
      </c>
      <c r="K60" t="s">
        <v>40</v>
      </c>
      <c r="L60" t="s">
        <v>121</v>
      </c>
      <c r="M60" t="s">
        <v>486</v>
      </c>
      <c r="N60" t="s">
        <v>258</v>
      </c>
      <c r="O60" s="1">
        <v>45173</v>
      </c>
      <c r="P60" t="s">
        <v>487</v>
      </c>
      <c r="Q60" s="1">
        <v>45191</v>
      </c>
      <c r="R60" t="s">
        <v>488</v>
      </c>
      <c r="S60" t="s">
        <v>52</v>
      </c>
      <c r="T60">
        <v>4960</v>
      </c>
      <c r="U60">
        <v>1720</v>
      </c>
      <c r="V60">
        <v>8825</v>
      </c>
      <c r="W60" t="s">
        <v>489</v>
      </c>
      <c r="X60">
        <v>0</v>
      </c>
      <c r="Y60">
        <v>0</v>
      </c>
      <c r="Z60" t="s">
        <v>40</v>
      </c>
      <c r="AA60" s="2" t="e">
        <f t="shared" si="0"/>
        <v>#VALUE!</v>
      </c>
      <c r="AB60" t="s">
        <v>40</v>
      </c>
      <c r="AC60" t="s">
        <v>490</v>
      </c>
      <c r="AD60" t="s">
        <v>40</v>
      </c>
      <c r="AE60" t="s">
        <v>449</v>
      </c>
      <c r="AF60" t="s">
        <v>40</v>
      </c>
      <c r="AG60" t="s">
        <v>40</v>
      </c>
      <c r="AH60" t="s">
        <v>40</v>
      </c>
      <c r="AI60" t="s">
        <v>40</v>
      </c>
      <c r="AJ60" t="s">
        <v>40</v>
      </c>
      <c r="AK60" t="s">
        <v>40</v>
      </c>
      <c r="AL60" t="s">
        <v>40</v>
      </c>
    </row>
    <row r="61" spans="1:38">
      <c r="A61" t="s">
        <v>491</v>
      </c>
      <c r="B61" t="s">
        <v>492</v>
      </c>
      <c r="C61" t="s">
        <v>493</v>
      </c>
      <c r="D61" t="s">
        <v>40</v>
      </c>
      <c r="E61" t="s">
        <v>494</v>
      </c>
      <c r="F61" t="s">
        <v>117</v>
      </c>
      <c r="G61" t="s">
        <v>105</v>
      </c>
      <c r="H61" t="s">
        <v>443</v>
      </c>
      <c r="I61" t="s">
        <v>461</v>
      </c>
      <c r="J61" t="s">
        <v>183</v>
      </c>
      <c r="K61" t="s">
        <v>40</v>
      </c>
      <c r="L61" t="s">
        <v>108</v>
      </c>
      <c r="M61" t="s">
        <v>495</v>
      </c>
      <c r="N61" t="s">
        <v>40</v>
      </c>
      <c r="O61" s="1">
        <v>45581</v>
      </c>
      <c r="P61" t="s">
        <v>496</v>
      </c>
      <c r="Q61" s="1">
        <v>45597</v>
      </c>
      <c r="R61" t="s">
        <v>497</v>
      </c>
      <c r="S61" t="s">
        <v>52</v>
      </c>
      <c r="T61">
        <v>3000</v>
      </c>
      <c r="U61">
        <v>2300</v>
      </c>
      <c r="V61">
        <v>5300</v>
      </c>
      <c r="W61" t="s">
        <v>498</v>
      </c>
      <c r="X61">
        <v>0</v>
      </c>
      <c r="Y61">
        <v>0</v>
      </c>
      <c r="Z61">
        <v>7191.99</v>
      </c>
      <c r="AA61" s="2">
        <f t="shared" si="0"/>
        <v>0.736930946789414</v>
      </c>
      <c r="AB61" t="s">
        <v>40</v>
      </c>
      <c r="AC61" t="s">
        <v>304</v>
      </c>
      <c r="AD61" t="s">
        <v>40</v>
      </c>
      <c r="AE61" t="s">
        <v>449</v>
      </c>
      <c r="AF61" t="s">
        <v>40</v>
      </c>
      <c r="AG61" t="s">
        <v>40</v>
      </c>
      <c r="AH61" t="s">
        <v>40</v>
      </c>
      <c r="AI61" t="s">
        <v>40</v>
      </c>
      <c r="AJ61" t="s">
        <v>40</v>
      </c>
      <c r="AK61" t="s">
        <v>40</v>
      </c>
      <c r="AL61" t="s">
        <v>40</v>
      </c>
    </row>
    <row r="62" spans="1:38">
      <c r="A62" t="s">
        <v>499</v>
      </c>
      <c r="B62" t="s">
        <v>500</v>
      </c>
      <c r="C62" t="s">
        <v>501</v>
      </c>
      <c r="D62" t="s">
        <v>40</v>
      </c>
      <c r="E62" t="s">
        <v>40</v>
      </c>
      <c r="F62" t="s">
        <v>42</v>
      </c>
      <c r="G62" t="s">
        <v>105</v>
      </c>
      <c r="H62" t="s">
        <v>443</v>
      </c>
      <c r="I62" t="s">
        <v>502</v>
      </c>
      <c r="J62" t="s">
        <v>183</v>
      </c>
      <c r="K62" t="s">
        <v>40</v>
      </c>
      <c r="L62" t="s">
        <v>121</v>
      </c>
      <c r="M62" t="s">
        <v>445</v>
      </c>
      <c r="N62" t="s">
        <v>258</v>
      </c>
      <c r="O62" s="1">
        <v>45328</v>
      </c>
      <c r="P62" t="s">
        <v>503</v>
      </c>
      <c r="Q62" s="1">
        <v>45345</v>
      </c>
      <c r="R62" t="s">
        <v>504</v>
      </c>
      <c r="S62" t="s">
        <v>52</v>
      </c>
      <c r="T62">
        <v>2103</v>
      </c>
      <c r="U62" t="s">
        <v>40</v>
      </c>
      <c r="V62">
        <v>6164</v>
      </c>
      <c r="W62" t="s">
        <v>505</v>
      </c>
      <c r="X62">
        <v>0</v>
      </c>
      <c r="Y62">
        <v>0</v>
      </c>
      <c r="Z62">
        <v>2998.26</v>
      </c>
      <c r="AA62" s="2">
        <f t="shared" si="0"/>
        <v>2.05585906492432</v>
      </c>
      <c r="AB62" t="s">
        <v>40</v>
      </c>
      <c r="AC62" t="s">
        <v>304</v>
      </c>
      <c r="AD62" t="s">
        <v>40</v>
      </c>
      <c r="AE62" t="s">
        <v>449</v>
      </c>
      <c r="AF62" t="s">
        <v>40</v>
      </c>
      <c r="AG62" t="s">
        <v>40</v>
      </c>
      <c r="AH62" t="s">
        <v>40</v>
      </c>
      <c r="AI62" t="s">
        <v>40</v>
      </c>
      <c r="AJ62" t="s">
        <v>40</v>
      </c>
      <c r="AK62" t="s">
        <v>40</v>
      </c>
      <c r="AL62" t="s">
        <v>40</v>
      </c>
    </row>
    <row r="63" spans="1:38">
      <c r="A63" t="s">
        <v>506</v>
      </c>
      <c r="B63" t="s">
        <v>507</v>
      </c>
      <c r="C63" t="s">
        <v>508</v>
      </c>
      <c r="D63" t="s">
        <v>40</v>
      </c>
      <c r="E63" t="s">
        <v>40</v>
      </c>
      <c r="F63" t="s">
        <v>42</v>
      </c>
      <c r="G63" t="s">
        <v>105</v>
      </c>
      <c r="H63" t="s">
        <v>256</v>
      </c>
      <c r="I63" t="s">
        <v>509</v>
      </c>
      <c r="J63" t="s">
        <v>183</v>
      </c>
      <c r="K63" t="s">
        <v>40</v>
      </c>
      <c r="L63" t="s">
        <v>121</v>
      </c>
      <c r="M63" t="s">
        <v>190</v>
      </c>
      <c r="N63" t="s">
        <v>258</v>
      </c>
      <c r="O63" s="1">
        <v>44923</v>
      </c>
      <c r="P63" t="s">
        <v>364</v>
      </c>
      <c r="Q63" s="1">
        <v>44967</v>
      </c>
      <c r="R63" t="s">
        <v>510</v>
      </c>
      <c r="S63" t="s">
        <v>52</v>
      </c>
      <c r="T63">
        <v>2000</v>
      </c>
      <c r="U63">
        <v>0</v>
      </c>
      <c r="V63">
        <v>2300</v>
      </c>
      <c r="W63" t="s">
        <v>511</v>
      </c>
      <c r="X63" t="s">
        <v>40</v>
      </c>
      <c r="Y63" t="s">
        <v>40</v>
      </c>
      <c r="Z63">
        <v>2301.96</v>
      </c>
      <c r="AA63" s="2">
        <f t="shared" si="0"/>
        <v>0.999148551669013</v>
      </c>
      <c r="AB63" t="s">
        <v>40</v>
      </c>
      <c r="AC63" t="s">
        <v>304</v>
      </c>
      <c r="AD63" t="s">
        <v>40</v>
      </c>
      <c r="AE63" t="s">
        <v>262</v>
      </c>
      <c r="AF63" t="s">
        <v>40</v>
      </c>
      <c r="AG63" t="s">
        <v>40</v>
      </c>
      <c r="AH63" t="s">
        <v>40</v>
      </c>
      <c r="AI63" t="s">
        <v>40</v>
      </c>
      <c r="AJ63" t="s">
        <v>40</v>
      </c>
      <c r="AK63" t="s">
        <v>40</v>
      </c>
      <c r="AL63" t="s">
        <v>40</v>
      </c>
    </row>
    <row r="64" spans="1:38">
      <c r="A64" t="s">
        <v>512</v>
      </c>
      <c r="B64" t="s">
        <v>513</v>
      </c>
      <c r="C64" t="s">
        <v>514</v>
      </c>
      <c r="D64" t="s">
        <v>40</v>
      </c>
      <c r="E64" t="s">
        <v>515</v>
      </c>
      <c r="F64" t="s">
        <v>42</v>
      </c>
      <c r="G64" t="s">
        <v>196</v>
      </c>
      <c r="H64" t="s">
        <v>137</v>
      </c>
      <c r="I64" t="s">
        <v>40</v>
      </c>
      <c r="J64" t="s">
        <v>46</v>
      </c>
      <c r="K64" t="s">
        <v>40</v>
      </c>
      <c r="L64" t="s">
        <v>197</v>
      </c>
      <c r="M64" t="s">
        <v>139</v>
      </c>
      <c r="N64" t="s">
        <v>198</v>
      </c>
      <c r="O64" s="1">
        <v>44356</v>
      </c>
      <c r="P64" t="s">
        <v>516</v>
      </c>
      <c r="Q64" s="1">
        <v>44393</v>
      </c>
      <c r="R64" t="s">
        <v>200</v>
      </c>
      <c r="S64" t="s">
        <v>52</v>
      </c>
      <c r="T64">
        <v>1500</v>
      </c>
      <c r="U64">
        <v>0</v>
      </c>
      <c r="V64">
        <v>38990</v>
      </c>
      <c r="W64" t="s">
        <v>517</v>
      </c>
      <c r="X64">
        <v>0</v>
      </c>
      <c r="Y64">
        <v>0</v>
      </c>
      <c r="Z64" t="s">
        <v>40</v>
      </c>
      <c r="AA64" s="2" t="e">
        <f t="shared" si="0"/>
        <v>#VALUE!</v>
      </c>
      <c r="AB64" t="s">
        <v>40</v>
      </c>
      <c r="AC64" t="s">
        <v>100</v>
      </c>
      <c r="AD64" t="s">
        <v>40</v>
      </c>
      <c r="AE64" t="s">
        <v>142</v>
      </c>
      <c r="AF64" t="s">
        <v>40</v>
      </c>
      <c r="AG64" t="s">
        <v>40</v>
      </c>
      <c r="AH64" t="s">
        <v>40</v>
      </c>
      <c r="AI64" t="s">
        <v>40</v>
      </c>
      <c r="AJ64" t="s">
        <v>40</v>
      </c>
      <c r="AK64" t="s">
        <v>40</v>
      </c>
      <c r="AL64" t="s">
        <v>40</v>
      </c>
    </row>
    <row r="65" spans="1:38">
      <c r="A65" t="s">
        <v>518</v>
      </c>
      <c r="B65" t="s">
        <v>519</v>
      </c>
      <c r="C65" t="s">
        <v>520</v>
      </c>
      <c r="D65" t="s">
        <v>40</v>
      </c>
      <c r="E65" t="s">
        <v>40</v>
      </c>
      <c r="F65" t="s">
        <v>42</v>
      </c>
      <c r="G65" t="s">
        <v>105</v>
      </c>
      <c r="H65" t="s">
        <v>443</v>
      </c>
      <c r="I65" t="s">
        <v>521</v>
      </c>
      <c r="J65" t="s">
        <v>46</v>
      </c>
      <c r="K65" t="s">
        <v>40</v>
      </c>
      <c r="L65" t="s">
        <v>121</v>
      </c>
      <c r="M65" t="s">
        <v>445</v>
      </c>
      <c r="N65" t="s">
        <v>337</v>
      </c>
      <c r="O65" s="1">
        <v>45412</v>
      </c>
      <c r="P65" t="s">
        <v>522</v>
      </c>
      <c r="Q65" s="1">
        <v>45439</v>
      </c>
      <c r="R65" t="s">
        <v>523</v>
      </c>
      <c r="S65" t="s">
        <v>277</v>
      </c>
      <c r="T65">
        <v>1000</v>
      </c>
      <c r="U65">
        <v>0</v>
      </c>
      <c r="V65">
        <v>1000</v>
      </c>
      <c r="W65" t="s">
        <v>524</v>
      </c>
      <c r="X65" t="s">
        <v>40</v>
      </c>
      <c r="Y65" t="s">
        <v>40</v>
      </c>
      <c r="Z65">
        <v>995.5</v>
      </c>
      <c r="AA65" s="2">
        <f t="shared" si="0"/>
        <v>1.00452034153692</v>
      </c>
      <c r="AB65" t="s">
        <v>40</v>
      </c>
      <c r="AC65" t="s">
        <v>304</v>
      </c>
      <c r="AD65" t="s">
        <v>40</v>
      </c>
      <c r="AE65" t="s">
        <v>449</v>
      </c>
      <c r="AF65" t="s">
        <v>40</v>
      </c>
      <c r="AG65" t="s">
        <v>40</v>
      </c>
      <c r="AH65" t="s">
        <v>40</v>
      </c>
      <c r="AI65" t="s">
        <v>40</v>
      </c>
      <c r="AJ65" t="s">
        <v>40</v>
      </c>
      <c r="AK65" t="s">
        <v>40</v>
      </c>
      <c r="AL65" t="s">
        <v>40</v>
      </c>
    </row>
    <row r="66" spans="1:38">
      <c r="A66" t="s">
        <v>525</v>
      </c>
      <c r="B66" t="s">
        <v>526</v>
      </c>
      <c r="C66" t="s">
        <v>527</v>
      </c>
      <c r="D66" t="s">
        <v>40</v>
      </c>
      <c r="E66" t="s">
        <v>40</v>
      </c>
      <c r="F66" t="s">
        <v>59</v>
      </c>
      <c r="G66" t="s">
        <v>105</v>
      </c>
      <c r="H66" t="s">
        <v>256</v>
      </c>
      <c r="I66" t="s">
        <v>266</v>
      </c>
      <c r="J66" t="s">
        <v>46</v>
      </c>
      <c r="K66" t="s">
        <v>40</v>
      </c>
      <c r="L66" t="s">
        <v>121</v>
      </c>
      <c r="M66" t="s">
        <v>190</v>
      </c>
      <c r="N66" t="s">
        <v>431</v>
      </c>
      <c r="O66" s="1">
        <v>45813</v>
      </c>
      <c r="P66" t="s">
        <v>528</v>
      </c>
      <c r="Q66" t="s">
        <v>40</v>
      </c>
      <c r="R66" t="s">
        <v>40</v>
      </c>
      <c r="S66" t="s">
        <v>52</v>
      </c>
      <c r="T66">
        <v>600</v>
      </c>
      <c r="U66">
        <v>0</v>
      </c>
      <c r="V66">
        <v>0</v>
      </c>
      <c r="W66" t="s">
        <v>529</v>
      </c>
      <c r="X66">
        <v>0</v>
      </c>
      <c r="Y66">
        <v>0</v>
      </c>
      <c r="Z66">
        <v>10555.51</v>
      </c>
      <c r="AA66" s="2">
        <f t="shared" ref="AA66:AA129" si="1">V66/Z66</f>
        <v>0</v>
      </c>
      <c r="AB66" t="s">
        <v>40</v>
      </c>
      <c r="AC66" t="s">
        <v>100</v>
      </c>
      <c r="AD66" t="s">
        <v>40</v>
      </c>
      <c r="AE66" t="s">
        <v>262</v>
      </c>
      <c r="AF66" t="s">
        <v>40</v>
      </c>
      <c r="AG66" t="s">
        <v>40</v>
      </c>
      <c r="AH66" t="s">
        <v>40</v>
      </c>
      <c r="AI66" t="s">
        <v>40</v>
      </c>
      <c r="AJ66" t="s">
        <v>40</v>
      </c>
      <c r="AK66" t="s">
        <v>40</v>
      </c>
      <c r="AL66" t="s">
        <v>40</v>
      </c>
    </row>
    <row r="67" spans="1:38">
      <c r="A67" t="s">
        <v>530</v>
      </c>
      <c r="B67" t="s">
        <v>531</v>
      </c>
      <c r="C67" t="s">
        <v>532</v>
      </c>
      <c r="D67" t="s">
        <v>40</v>
      </c>
      <c r="E67" t="s">
        <v>40</v>
      </c>
      <c r="F67" t="s">
        <v>59</v>
      </c>
      <c r="G67" t="s">
        <v>105</v>
      </c>
      <c r="H67" t="s">
        <v>256</v>
      </c>
      <c r="I67" t="s">
        <v>266</v>
      </c>
      <c r="J67" t="s">
        <v>46</v>
      </c>
      <c r="K67" t="s">
        <v>40</v>
      </c>
      <c r="L67" t="s">
        <v>121</v>
      </c>
      <c r="M67" t="s">
        <v>190</v>
      </c>
      <c r="N67" t="s">
        <v>431</v>
      </c>
      <c r="O67" s="1">
        <v>45818</v>
      </c>
      <c r="P67" t="s">
        <v>533</v>
      </c>
      <c r="Q67" t="s">
        <v>40</v>
      </c>
      <c r="R67" t="s">
        <v>40</v>
      </c>
      <c r="S67" t="s">
        <v>52</v>
      </c>
      <c r="T67">
        <v>600</v>
      </c>
      <c r="U67">
        <v>0</v>
      </c>
      <c r="V67">
        <v>0</v>
      </c>
      <c r="W67" t="s">
        <v>534</v>
      </c>
      <c r="X67">
        <v>0</v>
      </c>
      <c r="Y67">
        <v>0</v>
      </c>
      <c r="Z67">
        <v>5480.45</v>
      </c>
      <c r="AA67" s="2">
        <f t="shared" si="1"/>
        <v>0</v>
      </c>
      <c r="AB67" t="s">
        <v>40</v>
      </c>
      <c r="AC67" t="s">
        <v>100</v>
      </c>
      <c r="AD67" t="s">
        <v>40</v>
      </c>
      <c r="AE67" t="s">
        <v>262</v>
      </c>
      <c r="AF67" t="s">
        <v>40</v>
      </c>
      <c r="AG67" t="s">
        <v>40</v>
      </c>
      <c r="AH67" t="s">
        <v>40</v>
      </c>
      <c r="AI67" t="s">
        <v>40</v>
      </c>
      <c r="AJ67" t="s">
        <v>40</v>
      </c>
      <c r="AK67" t="s">
        <v>40</v>
      </c>
      <c r="AL67" t="s">
        <v>40</v>
      </c>
    </row>
    <row r="68" spans="1:38">
      <c r="A68" t="s">
        <v>535</v>
      </c>
      <c r="B68" t="s">
        <v>536</v>
      </c>
      <c r="C68" t="s">
        <v>537</v>
      </c>
      <c r="D68" t="s">
        <v>40</v>
      </c>
      <c r="E68" t="s">
        <v>40</v>
      </c>
      <c r="F68" t="s">
        <v>42</v>
      </c>
      <c r="G68" t="s">
        <v>105</v>
      </c>
      <c r="H68" t="s">
        <v>256</v>
      </c>
      <c r="I68" t="s">
        <v>40</v>
      </c>
      <c r="J68" t="s">
        <v>183</v>
      </c>
      <c r="K68" t="s">
        <v>40</v>
      </c>
      <c r="L68" t="s">
        <v>108</v>
      </c>
      <c r="M68" t="s">
        <v>190</v>
      </c>
      <c r="N68" t="s">
        <v>258</v>
      </c>
      <c r="O68" s="1">
        <v>44631</v>
      </c>
      <c r="P68" t="s">
        <v>409</v>
      </c>
      <c r="Q68" s="1">
        <v>44650</v>
      </c>
      <c r="R68" t="s">
        <v>538</v>
      </c>
      <c r="S68" t="s">
        <v>52</v>
      </c>
      <c r="T68">
        <v>585</v>
      </c>
      <c r="U68">
        <v>2340</v>
      </c>
      <c r="V68">
        <v>15015</v>
      </c>
      <c r="W68" t="s">
        <v>539</v>
      </c>
      <c r="X68">
        <v>0</v>
      </c>
      <c r="Y68">
        <v>0</v>
      </c>
      <c r="Z68">
        <v>6063.07</v>
      </c>
      <c r="AA68" s="2">
        <f t="shared" si="1"/>
        <v>2.4764681918566</v>
      </c>
      <c r="AB68" t="s">
        <v>40</v>
      </c>
      <c r="AC68" t="s">
        <v>304</v>
      </c>
      <c r="AD68" t="s">
        <v>40</v>
      </c>
      <c r="AE68" t="s">
        <v>262</v>
      </c>
      <c r="AF68" t="s">
        <v>40</v>
      </c>
      <c r="AG68" t="s">
        <v>40</v>
      </c>
      <c r="AH68" t="s">
        <v>40</v>
      </c>
      <c r="AI68" t="s">
        <v>40</v>
      </c>
      <c r="AJ68" t="s">
        <v>40</v>
      </c>
      <c r="AK68" t="s">
        <v>40</v>
      </c>
      <c r="AL68" t="s">
        <v>40</v>
      </c>
    </row>
    <row r="69" spans="1:38">
      <c r="A69" t="s">
        <v>540</v>
      </c>
      <c r="B69" t="s">
        <v>541</v>
      </c>
      <c r="C69" t="s">
        <v>542</v>
      </c>
      <c r="D69" t="s">
        <v>40</v>
      </c>
      <c r="E69" t="s">
        <v>40</v>
      </c>
      <c r="F69" t="s">
        <v>42</v>
      </c>
      <c r="G69" t="s">
        <v>196</v>
      </c>
      <c r="H69" t="s">
        <v>137</v>
      </c>
      <c r="I69" t="s">
        <v>401</v>
      </c>
      <c r="J69" t="s">
        <v>46</v>
      </c>
      <c r="K69" t="s">
        <v>40</v>
      </c>
      <c r="L69" t="s">
        <v>197</v>
      </c>
      <c r="M69" t="s">
        <v>139</v>
      </c>
      <c r="N69" t="s">
        <v>198</v>
      </c>
      <c r="O69" s="1">
        <v>43556</v>
      </c>
      <c r="P69" t="s">
        <v>543</v>
      </c>
      <c r="Q69" s="1">
        <v>43575</v>
      </c>
      <c r="R69" t="s">
        <v>544</v>
      </c>
      <c r="S69" t="s">
        <v>52</v>
      </c>
      <c r="T69">
        <v>450</v>
      </c>
      <c r="U69">
        <v>0</v>
      </c>
      <c r="V69">
        <v>66115</v>
      </c>
      <c r="W69" t="s">
        <v>545</v>
      </c>
      <c r="X69">
        <v>0</v>
      </c>
      <c r="Y69">
        <v>0</v>
      </c>
      <c r="Z69">
        <v>870.15</v>
      </c>
      <c r="AA69" s="2">
        <f t="shared" si="1"/>
        <v>75.9811526748262</v>
      </c>
      <c r="AB69" t="s">
        <v>40</v>
      </c>
      <c r="AC69" t="s">
        <v>100</v>
      </c>
      <c r="AD69" t="s">
        <v>40</v>
      </c>
      <c r="AE69" t="s">
        <v>142</v>
      </c>
      <c r="AF69" t="s">
        <v>40</v>
      </c>
      <c r="AG69" t="s">
        <v>40</v>
      </c>
      <c r="AH69" t="s">
        <v>40</v>
      </c>
      <c r="AI69" t="s">
        <v>40</v>
      </c>
      <c r="AJ69" t="s">
        <v>40</v>
      </c>
      <c r="AK69" t="s">
        <v>40</v>
      </c>
      <c r="AL69" t="s">
        <v>40</v>
      </c>
    </row>
    <row r="70" spans="1:38">
      <c r="A70" t="s">
        <v>546</v>
      </c>
      <c r="B70" t="s">
        <v>547</v>
      </c>
      <c r="C70" t="s">
        <v>548</v>
      </c>
      <c r="D70" t="s">
        <v>170</v>
      </c>
      <c r="E70" t="s">
        <v>40</v>
      </c>
      <c r="F70" t="s">
        <v>42</v>
      </c>
      <c r="G70" t="s">
        <v>43</v>
      </c>
      <c r="H70" t="s">
        <v>549</v>
      </c>
      <c r="I70" t="s">
        <v>550</v>
      </c>
      <c r="J70" t="s">
        <v>46</v>
      </c>
      <c r="K70" t="s">
        <v>83</v>
      </c>
      <c r="L70" t="s">
        <v>47</v>
      </c>
      <c r="M70" t="s">
        <v>551</v>
      </c>
      <c r="N70" t="s">
        <v>49</v>
      </c>
      <c r="O70" s="1">
        <v>45765</v>
      </c>
      <c r="P70" t="s">
        <v>552</v>
      </c>
      <c r="Q70" s="1">
        <v>45786</v>
      </c>
      <c r="R70" t="s">
        <v>553</v>
      </c>
      <c r="S70" t="s">
        <v>52</v>
      </c>
      <c r="T70">
        <v>0</v>
      </c>
      <c r="U70">
        <v>0</v>
      </c>
      <c r="V70">
        <v>1700</v>
      </c>
      <c r="W70" t="s">
        <v>554</v>
      </c>
      <c r="X70">
        <v>5</v>
      </c>
      <c r="Y70">
        <v>2</v>
      </c>
      <c r="Z70">
        <v>27578.85</v>
      </c>
      <c r="AA70" s="2">
        <f t="shared" si="1"/>
        <v>0.0616414390012637</v>
      </c>
      <c r="AB70">
        <v>2364.9</v>
      </c>
      <c r="AC70" t="s">
        <v>54</v>
      </c>
      <c r="AD70" t="s">
        <v>555</v>
      </c>
      <c r="AE70" t="s">
        <v>556</v>
      </c>
      <c r="AF70" t="s">
        <v>40</v>
      </c>
      <c r="AG70" t="s">
        <v>40</v>
      </c>
      <c r="AH70" t="s">
        <v>40</v>
      </c>
      <c r="AI70" t="s">
        <v>40</v>
      </c>
      <c r="AJ70" t="s">
        <v>40</v>
      </c>
      <c r="AK70" t="s">
        <v>40</v>
      </c>
      <c r="AL70" t="s">
        <v>40</v>
      </c>
    </row>
    <row r="71" spans="1:38">
      <c r="A71" t="s">
        <v>557</v>
      </c>
      <c r="B71" t="s">
        <v>558</v>
      </c>
      <c r="C71" t="s">
        <v>559</v>
      </c>
      <c r="D71" t="s">
        <v>40</v>
      </c>
      <c r="E71" t="s">
        <v>40</v>
      </c>
      <c r="F71" t="s">
        <v>42</v>
      </c>
      <c r="G71" t="s">
        <v>105</v>
      </c>
      <c r="H71" t="s">
        <v>223</v>
      </c>
      <c r="I71" t="s">
        <v>560</v>
      </c>
      <c r="J71" t="s">
        <v>183</v>
      </c>
      <c r="K71" t="s">
        <v>40</v>
      </c>
      <c r="L71" t="s">
        <v>121</v>
      </c>
      <c r="M71" t="s">
        <v>190</v>
      </c>
      <c r="N71" t="s">
        <v>258</v>
      </c>
      <c r="O71" s="1">
        <v>45043</v>
      </c>
      <c r="P71" t="s">
        <v>561</v>
      </c>
      <c r="Q71" s="1">
        <v>45075</v>
      </c>
      <c r="R71" t="s">
        <v>562</v>
      </c>
      <c r="S71" t="s">
        <v>52</v>
      </c>
      <c r="T71">
        <v>0</v>
      </c>
      <c r="U71">
        <v>0</v>
      </c>
      <c r="V71">
        <v>1950</v>
      </c>
      <c r="W71" t="s">
        <v>563</v>
      </c>
      <c r="X71">
        <v>0</v>
      </c>
      <c r="Y71">
        <v>0</v>
      </c>
      <c r="Z71" t="s">
        <v>40</v>
      </c>
      <c r="AA71" s="2" t="e">
        <f t="shared" si="1"/>
        <v>#VALUE!</v>
      </c>
      <c r="AB71" t="s">
        <v>40</v>
      </c>
      <c r="AC71" t="s">
        <v>490</v>
      </c>
      <c r="AD71" t="s">
        <v>40</v>
      </c>
      <c r="AE71" t="s">
        <v>232</v>
      </c>
      <c r="AF71" t="s">
        <v>40</v>
      </c>
      <c r="AG71" t="s">
        <v>40</v>
      </c>
      <c r="AH71" t="s">
        <v>40</v>
      </c>
      <c r="AI71" t="s">
        <v>40</v>
      </c>
      <c r="AJ71" t="s">
        <v>40</v>
      </c>
      <c r="AK71" t="s">
        <v>40</v>
      </c>
      <c r="AL71" t="s">
        <v>40</v>
      </c>
    </row>
    <row r="72" spans="1:38">
      <c r="A72" t="s">
        <v>564</v>
      </c>
      <c r="B72" t="s">
        <v>565</v>
      </c>
      <c r="C72" t="s">
        <v>566</v>
      </c>
      <c r="D72" t="s">
        <v>40</v>
      </c>
      <c r="E72" t="s">
        <v>40</v>
      </c>
      <c r="F72" t="s">
        <v>42</v>
      </c>
      <c r="G72" t="s">
        <v>567</v>
      </c>
      <c r="H72" t="s">
        <v>223</v>
      </c>
      <c r="I72" t="s">
        <v>568</v>
      </c>
      <c r="J72" t="s">
        <v>183</v>
      </c>
      <c r="K72" t="s">
        <v>569</v>
      </c>
      <c r="L72" t="s">
        <v>121</v>
      </c>
      <c r="M72" t="s">
        <v>570</v>
      </c>
      <c r="N72" t="s">
        <v>40</v>
      </c>
      <c r="O72" s="1">
        <v>45509</v>
      </c>
      <c r="P72" t="s">
        <v>571</v>
      </c>
      <c r="Q72" s="1">
        <v>45520</v>
      </c>
      <c r="R72" t="s">
        <v>572</v>
      </c>
      <c r="S72" t="s">
        <v>277</v>
      </c>
      <c r="T72">
        <v>0</v>
      </c>
      <c r="U72">
        <v>0</v>
      </c>
      <c r="V72">
        <v>0</v>
      </c>
      <c r="W72" t="s">
        <v>573</v>
      </c>
      <c r="X72">
        <v>0</v>
      </c>
      <c r="Y72">
        <v>0</v>
      </c>
      <c r="Z72">
        <v>1709.82</v>
      </c>
      <c r="AA72" s="2">
        <f t="shared" si="1"/>
        <v>0</v>
      </c>
      <c r="AB72" t="s">
        <v>40</v>
      </c>
      <c r="AC72" t="s">
        <v>54</v>
      </c>
      <c r="AD72" t="s">
        <v>40</v>
      </c>
      <c r="AE72" t="s">
        <v>232</v>
      </c>
      <c r="AF72" t="s">
        <v>40</v>
      </c>
      <c r="AG72" t="s">
        <v>40</v>
      </c>
      <c r="AH72" t="s">
        <v>40</v>
      </c>
      <c r="AI72" t="s">
        <v>40</v>
      </c>
      <c r="AJ72" t="s">
        <v>40</v>
      </c>
      <c r="AK72" t="s">
        <v>40</v>
      </c>
      <c r="AL72" t="s">
        <v>40</v>
      </c>
    </row>
    <row r="73" spans="1:38">
      <c r="A73" t="s">
        <v>574</v>
      </c>
      <c r="B73" t="s">
        <v>575</v>
      </c>
      <c r="C73" t="s">
        <v>576</v>
      </c>
      <c r="D73" t="s">
        <v>40</v>
      </c>
      <c r="E73" t="s">
        <v>40</v>
      </c>
      <c r="F73" t="s">
        <v>59</v>
      </c>
      <c r="G73" t="s">
        <v>567</v>
      </c>
      <c r="H73" t="s">
        <v>223</v>
      </c>
      <c r="I73" t="s">
        <v>40</v>
      </c>
      <c r="J73" t="s">
        <v>183</v>
      </c>
      <c r="K73" t="s">
        <v>569</v>
      </c>
      <c r="L73" t="s">
        <v>121</v>
      </c>
      <c r="M73" t="s">
        <v>577</v>
      </c>
      <c r="N73" t="s">
        <v>578</v>
      </c>
      <c r="O73" s="1">
        <v>45573</v>
      </c>
      <c r="P73" t="s">
        <v>579</v>
      </c>
      <c r="Q73" s="1">
        <v>45590</v>
      </c>
      <c r="R73" t="s">
        <v>580</v>
      </c>
      <c r="S73" t="s">
        <v>277</v>
      </c>
      <c r="T73">
        <v>0</v>
      </c>
      <c r="U73">
        <v>0</v>
      </c>
      <c r="V73">
        <v>0</v>
      </c>
      <c r="W73" t="s">
        <v>581</v>
      </c>
      <c r="X73">
        <v>0</v>
      </c>
      <c r="Y73">
        <v>0</v>
      </c>
      <c r="Z73">
        <v>44794.02</v>
      </c>
      <c r="AA73" s="2">
        <f t="shared" si="1"/>
        <v>0</v>
      </c>
      <c r="AB73" t="s">
        <v>40</v>
      </c>
      <c r="AC73" t="s">
        <v>54</v>
      </c>
      <c r="AD73" t="s">
        <v>40</v>
      </c>
      <c r="AE73" t="s">
        <v>232</v>
      </c>
      <c r="AF73" t="s">
        <v>40</v>
      </c>
      <c r="AG73" t="s">
        <v>40</v>
      </c>
      <c r="AH73" t="s">
        <v>40</v>
      </c>
      <c r="AI73" t="s">
        <v>40</v>
      </c>
      <c r="AJ73" t="s">
        <v>40</v>
      </c>
      <c r="AK73" t="s">
        <v>40</v>
      </c>
      <c r="AL73" t="s">
        <v>40</v>
      </c>
    </row>
    <row r="74" spans="1:38">
      <c r="A74" t="s">
        <v>582</v>
      </c>
      <c r="B74" t="s">
        <v>583</v>
      </c>
      <c r="C74" t="s">
        <v>584</v>
      </c>
      <c r="D74" t="s">
        <v>40</v>
      </c>
      <c r="E74" t="s">
        <v>40</v>
      </c>
      <c r="F74" t="s">
        <v>42</v>
      </c>
      <c r="G74" t="s">
        <v>43</v>
      </c>
      <c r="H74" t="s">
        <v>223</v>
      </c>
      <c r="I74" t="s">
        <v>585</v>
      </c>
      <c r="J74" t="s">
        <v>46</v>
      </c>
      <c r="K74" t="s">
        <v>586</v>
      </c>
      <c r="L74" t="s">
        <v>84</v>
      </c>
      <c r="M74" t="s">
        <v>587</v>
      </c>
      <c r="N74" t="s">
        <v>49</v>
      </c>
      <c r="O74" s="1">
        <v>45796</v>
      </c>
      <c r="P74" t="s">
        <v>588</v>
      </c>
      <c r="Q74" t="s">
        <v>40</v>
      </c>
      <c r="R74" t="s">
        <v>40</v>
      </c>
      <c r="S74" t="s">
        <v>277</v>
      </c>
      <c r="T74">
        <v>0</v>
      </c>
      <c r="U74">
        <v>0</v>
      </c>
      <c r="V74">
        <v>0</v>
      </c>
      <c r="W74" t="s">
        <v>40</v>
      </c>
      <c r="X74" t="s">
        <v>40</v>
      </c>
      <c r="Y74" t="s">
        <v>40</v>
      </c>
      <c r="Z74">
        <v>4545.19</v>
      </c>
      <c r="AA74" s="2">
        <f t="shared" si="1"/>
        <v>0</v>
      </c>
      <c r="AB74" t="s">
        <v>40</v>
      </c>
      <c r="AC74" t="s">
        <v>100</v>
      </c>
      <c r="AD74" t="s">
        <v>40</v>
      </c>
      <c r="AE74" t="s">
        <v>232</v>
      </c>
      <c r="AF74" t="s">
        <v>40</v>
      </c>
      <c r="AG74" t="s">
        <v>40</v>
      </c>
      <c r="AH74" t="s">
        <v>40</v>
      </c>
      <c r="AI74" t="s">
        <v>40</v>
      </c>
      <c r="AJ74" t="s">
        <v>40</v>
      </c>
      <c r="AK74" t="s">
        <v>40</v>
      </c>
      <c r="AL74" t="s">
        <v>40</v>
      </c>
    </row>
    <row r="75" spans="1:38">
      <c r="A75" t="s">
        <v>589</v>
      </c>
      <c r="B75" t="s">
        <v>590</v>
      </c>
      <c r="C75" t="s">
        <v>591</v>
      </c>
      <c r="D75" t="s">
        <v>170</v>
      </c>
      <c r="E75" t="s">
        <v>592</v>
      </c>
      <c r="F75" t="s">
        <v>42</v>
      </c>
      <c r="G75" t="s">
        <v>43</v>
      </c>
      <c r="H75" t="s">
        <v>223</v>
      </c>
      <c r="I75" t="s">
        <v>224</v>
      </c>
      <c r="J75" t="s">
        <v>119</v>
      </c>
      <c r="K75" t="s">
        <v>225</v>
      </c>
      <c r="L75" t="s">
        <v>40</v>
      </c>
      <c r="M75" t="s">
        <v>593</v>
      </c>
      <c r="N75" t="s">
        <v>123</v>
      </c>
      <c r="O75" s="1">
        <v>46030</v>
      </c>
      <c r="P75" t="s">
        <v>594</v>
      </c>
      <c r="Q75" t="s">
        <v>40</v>
      </c>
      <c r="R75" t="s">
        <v>40</v>
      </c>
      <c r="S75" t="s">
        <v>133</v>
      </c>
      <c r="T75">
        <v>0</v>
      </c>
      <c r="U75">
        <v>0</v>
      </c>
      <c r="V75">
        <v>0</v>
      </c>
      <c r="W75" t="s">
        <v>595</v>
      </c>
      <c r="X75">
        <v>0</v>
      </c>
      <c r="Y75">
        <v>0</v>
      </c>
      <c r="Z75">
        <v>9811.58</v>
      </c>
      <c r="AA75" s="2">
        <f t="shared" si="1"/>
        <v>0</v>
      </c>
      <c r="AB75" t="s">
        <v>40</v>
      </c>
      <c r="AC75" t="s">
        <v>100</v>
      </c>
      <c r="AD75" t="s">
        <v>40</v>
      </c>
      <c r="AE75" t="s">
        <v>232</v>
      </c>
      <c r="AF75" t="s">
        <v>40</v>
      </c>
      <c r="AG75" t="s">
        <v>40</v>
      </c>
      <c r="AH75" t="s">
        <v>40</v>
      </c>
      <c r="AI75" t="s">
        <v>40</v>
      </c>
      <c r="AJ75" t="s">
        <v>40</v>
      </c>
      <c r="AK75" t="s">
        <v>40</v>
      </c>
      <c r="AL75" t="s">
        <v>40</v>
      </c>
    </row>
    <row r="76" spans="1:38">
      <c r="A76" t="s">
        <v>596</v>
      </c>
      <c r="B76" t="s">
        <v>597</v>
      </c>
      <c r="C76" t="s">
        <v>598</v>
      </c>
      <c r="D76" t="s">
        <v>40</v>
      </c>
      <c r="E76" t="s">
        <v>40</v>
      </c>
      <c r="F76" t="s">
        <v>59</v>
      </c>
      <c r="G76" t="s">
        <v>43</v>
      </c>
      <c r="H76" t="s">
        <v>44</v>
      </c>
      <c r="I76" t="s">
        <v>68</v>
      </c>
      <c r="J76" t="s">
        <v>46</v>
      </c>
      <c r="K76" t="s">
        <v>83</v>
      </c>
      <c r="L76" t="s">
        <v>84</v>
      </c>
      <c r="M76" t="s">
        <v>69</v>
      </c>
      <c r="N76" t="s">
        <v>61</v>
      </c>
      <c r="O76" s="1">
        <v>45756</v>
      </c>
      <c r="P76" t="s">
        <v>85</v>
      </c>
      <c r="Q76" s="1">
        <v>45789</v>
      </c>
      <c r="R76" t="s">
        <v>86</v>
      </c>
      <c r="S76" t="s">
        <v>277</v>
      </c>
      <c r="T76">
        <v>0</v>
      </c>
      <c r="U76">
        <v>0</v>
      </c>
      <c r="V76">
        <v>0</v>
      </c>
      <c r="W76" t="s">
        <v>599</v>
      </c>
      <c r="X76">
        <v>0</v>
      </c>
      <c r="Y76">
        <v>0</v>
      </c>
      <c r="Z76">
        <v>10310.12</v>
      </c>
      <c r="AA76" s="2">
        <f t="shared" si="1"/>
        <v>0</v>
      </c>
      <c r="AB76">
        <v>1780.65</v>
      </c>
      <c r="AC76" t="s">
        <v>54</v>
      </c>
      <c r="AD76" t="s">
        <v>40</v>
      </c>
      <c r="AE76" t="s">
        <v>55</v>
      </c>
      <c r="AF76" t="s">
        <v>40</v>
      </c>
      <c r="AG76" t="s">
        <v>40</v>
      </c>
      <c r="AH76" t="s">
        <v>40</v>
      </c>
      <c r="AI76" t="s">
        <v>40</v>
      </c>
      <c r="AJ76" t="s">
        <v>40</v>
      </c>
      <c r="AK76" t="s">
        <v>40</v>
      </c>
      <c r="AL76" t="s">
        <v>40</v>
      </c>
    </row>
    <row r="77" spans="1:38">
      <c r="A77" t="s">
        <v>600</v>
      </c>
      <c r="B77" t="s">
        <v>601</v>
      </c>
      <c r="C77" t="s">
        <v>602</v>
      </c>
      <c r="D77" t="s">
        <v>40</v>
      </c>
      <c r="E77" t="s">
        <v>40</v>
      </c>
      <c r="F77" t="s">
        <v>42</v>
      </c>
      <c r="G77" t="s">
        <v>43</v>
      </c>
      <c r="H77" t="s">
        <v>44</v>
      </c>
      <c r="I77" t="s">
        <v>68</v>
      </c>
      <c r="J77" t="s">
        <v>46</v>
      </c>
      <c r="K77" t="s">
        <v>84</v>
      </c>
      <c r="L77" t="s">
        <v>84</v>
      </c>
      <c r="M77" t="s">
        <v>48</v>
      </c>
      <c r="N77" t="s">
        <v>49</v>
      </c>
      <c r="O77" s="1">
        <v>45972</v>
      </c>
      <c r="P77" t="s">
        <v>603</v>
      </c>
      <c r="Q77" t="s">
        <v>40</v>
      </c>
      <c r="R77" t="s">
        <v>40</v>
      </c>
      <c r="S77" t="s">
        <v>277</v>
      </c>
      <c r="T77">
        <v>0</v>
      </c>
      <c r="U77">
        <v>0</v>
      </c>
      <c r="V77">
        <v>0</v>
      </c>
      <c r="W77" t="s">
        <v>604</v>
      </c>
      <c r="X77">
        <v>0</v>
      </c>
      <c r="Y77">
        <v>2</v>
      </c>
      <c r="Z77">
        <v>7608.22</v>
      </c>
      <c r="AA77" s="2">
        <f t="shared" si="1"/>
        <v>0</v>
      </c>
      <c r="AB77" t="s">
        <v>40</v>
      </c>
      <c r="AC77" t="s">
        <v>100</v>
      </c>
      <c r="AD77" t="s">
        <v>40</v>
      </c>
      <c r="AE77" t="s">
        <v>55</v>
      </c>
      <c r="AF77" t="s">
        <v>40</v>
      </c>
      <c r="AG77" t="s">
        <v>40</v>
      </c>
      <c r="AH77" t="s">
        <v>40</v>
      </c>
      <c r="AI77" t="s">
        <v>40</v>
      </c>
      <c r="AJ77" t="s">
        <v>40</v>
      </c>
      <c r="AK77" t="s">
        <v>40</v>
      </c>
      <c r="AL77" t="s">
        <v>40</v>
      </c>
    </row>
    <row r="78" spans="1:38">
      <c r="A78" t="s">
        <v>605</v>
      </c>
      <c r="B78" t="s">
        <v>606</v>
      </c>
      <c r="C78" t="s">
        <v>607</v>
      </c>
      <c r="D78" t="s">
        <v>40</v>
      </c>
      <c r="E78" t="s">
        <v>40</v>
      </c>
      <c r="F78" t="s">
        <v>42</v>
      </c>
      <c r="G78" t="s">
        <v>43</v>
      </c>
      <c r="H78" t="s">
        <v>44</v>
      </c>
      <c r="I78" t="s">
        <v>68</v>
      </c>
      <c r="J78" t="s">
        <v>119</v>
      </c>
      <c r="K78" t="s">
        <v>40</v>
      </c>
      <c r="L78" t="s">
        <v>47</v>
      </c>
      <c r="M78" t="s">
        <v>608</v>
      </c>
      <c r="N78" t="s">
        <v>609</v>
      </c>
      <c r="O78" s="1">
        <v>45995</v>
      </c>
      <c r="P78" t="s">
        <v>610</v>
      </c>
      <c r="Q78" t="s">
        <v>40</v>
      </c>
      <c r="R78" t="s">
        <v>40</v>
      </c>
      <c r="S78" t="s">
        <v>133</v>
      </c>
      <c r="T78">
        <v>0</v>
      </c>
      <c r="U78">
        <v>0</v>
      </c>
      <c r="V78">
        <v>0</v>
      </c>
      <c r="W78" t="s">
        <v>611</v>
      </c>
      <c r="X78" t="s">
        <v>612</v>
      </c>
      <c r="Y78" t="s">
        <v>40</v>
      </c>
      <c r="Z78">
        <v>31333.52</v>
      </c>
      <c r="AA78" s="2">
        <f t="shared" si="1"/>
        <v>0</v>
      </c>
      <c r="AB78" t="s">
        <v>40</v>
      </c>
      <c r="AC78" t="s">
        <v>100</v>
      </c>
      <c r="AD78" t="s">
        <v>40</v>
      </c>
      <c r="AE78" t="s">
        <v>55</v>
      </c>
      <c r="AF78" t="s">
        <v>40</v>
      </c>
      <c r="AG78" t="s">
        <v>40</v>
      </c>
      <c r="AH78" t="s">
        <v>40</v>
      </c>
      <c r="AI78" t="s">
        <v>40</v>
      </c>
      <c r="AJ78" t="s">
        <v>40</v>
      </c>
      <c r="AK78" t="s">
        <v>40</v>
      </c>
      <c r="AL78" t="s">
        <v>40</v>
      </c>
    </row>
    <row r="79" spans="1:38">
      <c r="A79" t="s">
        <v>613</v>
      </c>
      <c r="B79" t="s">
        <v>614</v>
      </c>
      <c r="C79" t="s">
        <v>615</v>
      </c>
      <c r="D79" t="s">
        <v>40</v>
      </c>
      <c r="E79" t="s">
        <v>40</v>
      </c>
      <c r="F79" t="s">
        <v>42</v>
      </c>
      <c r="G79" t="s">
        <v>43</v>
      </c>
      <c r="H79" t="s">
        <v>44</v>
      </c>
      <c r="I79" t="s">
        <v>616</v>
      </c>
      <c r="J79" t="s">
        <v>46</v>
      </c>
      <c r="K79" t="s">
        <v>40</v>
      </c>
      <c r="L79" t="s">
        <v>84</v>
      </c>
      <c r="M79" t="s">
        <v>48</v>
      </c>
      <c r="N79" t="s">
        <v>49</v>
      </c>
      <c r="O79" s="1">
        <v>46021</v>
      </c>
      <c r="P79" t="s">
        <v>617</v>
      </c>
      <c r="Q79" t="s">
        <v>40</v>
      </c>
      <c r="R79" t="s">
        <v>40</v>
      </c>
      <c r="S79" t="s">
        <v>99</v>
      </c>
      <c r="T79">
        <v>0</v>
      </c>
      <c r="U79">
        <v>0</v>
      </c>
      <c r="V79">
        <v>0</v>
      </c>
      <c r="W79" t="s">
        <v>618</v>
      </c>
      <c r="X79">
        <v>0</v>
      </c>
      <c r="Y79">
        <v>0</v>
      </c>
      <c r="Z79">
        <v>7906.08</v>
      </c>
      <c r="AA79" s="2">
        <f t="shared" si="1"/>
        <v>0</v>
      </c>
      <c r="AB79" t="s">
        <v>40</v>
      </c>
      <c r="AC79" t="s">
        <v>100</v>
      </c>
      <c r="AD79" t="s">
        <v>40</v>
      </c>
      <c r="AE79" t="s">
        <v>55</v>
      </c>
      <c r="AF79" t="s">
        <v>40</v>
      </c>
      <c r="AG79" t="s">
        <v>40</v>
      </c>
      <c r="AH79" t="s">
        <v>40</v>
      </c>
      <c r="AI79" t="s">
        <v>40</v>
      </c>
      <c r="AJ79" t="s">
        <v>40</v>
      </c>
      <c r="AK79" t="s">
        <v>40</v>
      </c>
      <c r="AL79" t="s">
        <v>40</v>
      </c>
    </row>
    <row r="80" spans="1:38">
      <c r="A80" t="s">
        <v>619</v>
      </c>
      <c r="B80" t="s">
        <v>620</v>
      </c>
      <c r="C80" t="s">
        <v>621</v>
      </c>
      <c r="D80" t="s">
        <v>170</v>
      </c>
      <c r="E80" t="s">
        <v>40</v>
      </c>
      <c r="F80" t="s">
        <v>42</v>
      </c>
      <c r="G80" t="s">
        <v>105</v>
      </c>
      <c r="H80" t="s">
        <v>256</v>
      </c>
      <c r="I80" t="s">
        <v>622</v>
      </c>
      <c r="J80" t="s">
        <v>183</v>
      </c>
      <c r="K80" t="s">
        <v>40</v>
      </c>
      <c r="L80" t="s">
        <v>108</v>
      </c>
      <c r="M80" t="s">
        <v>190</v>
      </c>
      <c r="N80" t="s">
        <v>258</v>
      </c>
      <c r="O80" s="1">
        <v>44991</v>
      </c>
      <c r="P80" t="s">
        <v>623</v>
      </c>
      <c r="Q80" s="1">
        <v>45014</v>
      </c>
      <c r="R80" t="s">
        <v>447</v>
      </c>
      <c r="S80" t="s">
        <v>52</v>
      </c>
      <c r="T80">
        <v>0</v>
      </c>
      <c r="U80">
        <v>0</v>
      </c>
      <c r="V80">
        <v>41473</v>
      </c>
      <c r="W80" t="s">
        <v>624</v>
      </c>
      <c r="X80">
        <v>1</v>
      </c>
      <c r="Y80">
        <v>0</v>
      </c>
      <c r="Z80" t="s">
        <v>40</v>
      </c>
      <c r="AA80" s="2" t="e">
        <f t="shared" si="1"/>
        <v>#VALUE!</v>
      </c>
      <c r="AB80" t="s">
        <v>40</v>
      </c>
      <c r="AC80" t="s">
        <v>54</v>
      </c>
      <c r="AD80" t="s">
        <v>625</v>
      </c>
      <c r="AE80" t="s">
        <v>262</v>
      </c>
      <c r="AF80" t="s">
        <v>40</v>
      </c>
      <c r="AG80" t="s">
        <v>40</v>
      </c>
      <c r="AH80" t="s">
        <v>40</v>
      </c>
      <c r="AI80" t="s">
        <v>40</v>
      </c>
      <c r="AJ80" t="s">
        <v>40</v>
      </c>
      <c r="AK80" t="s">
        <v>40</v>
      </c>
      <c r="AL80" t="s">
        <v>40</v>
      </c>
    </row>
    <row r="81" spans="1:38">
      <c r="A81" t="s">
        <v>626</v>
      </c>
      <c r="B81" t="s">
        <v>627</v>
      </c>
      <c r="C81" t="s">
        <v>628</v>
      </c>
      <c r="D81" t="s">
        <v>40</v>
      </c>
      <c r="E81" t="s">
        <v>40</v>
      </c>
      <c r="F81" t="s">
        <v>42</v>
      </c>
      <c r="G81" t="s">
        <v>105</v>
      </c>
      <c r="H81" t="s">
        <v>256</v>
      </c>
      <c r="I81" t="s">
        <v>266</v>
      </c>
      <c r="J81" t="s">
        <v>183</v>
      </c>
      <c r="K81" t="s">
        <v>40</v>
      </c>
      <c r="L81" t="s">
        <v>121</v>
      </c>
      <c r="M81" t="s">
        <v>190</v>
      </c>
      <c r="N81" t="s">
        <v>258</v>
      </c>
      <c r="O81" s="1">
        <v>45118</v>
      </c>
      <c r="P81" t="s">
        <v>629</v>
      </c>
      <c r="Q81" s="1">
        <v>45135</v>
      </c>
      <c r="R81" t="s">
        <v>630</v>
      </c>
      <c r="S81" t="s">
        <v>52</v>
      </c>
      <c r="T81">
        <v>0</v>
      </c>
      <c r="U81">
        <v>0</v>
      </c>
      <c r="V81">
        <v>21640</v>
      </c>
      <c r="W81" t="s">
        <v>631</v>
      </c>
      <c r="X81">
        <v>0</v>
      </c>
      <c r="Y81">
        <v>0</v>
      </c>
      <c r="Z81" t="s">
        <v>40</v>
      </c>
      <c r="AA81" s="2" t="e">
        <f t="shared" si="1"/>
        <v>#VALUE!</v>
      </c>
      <c r="AB81" t="s">
        <v>40</v>
      </c>
      <c r="AC81" t="s">
        <v>100</v>
      </c>
      <c r="AD81" t="s">
        <v>40</v>
      </c>
      <c r="AE81" t="s">
        <v>262</v>
      </c>
      <c r="AF81" t="s">
        <v>40</v>
      </c>
      <c r="AG81" t="s">
        <v>40</v>
      </c>
      <c r="AH81" t="s">
        <v>40</v>
      </c>
      <c r="AI81" t="s">
        <v>40</v>
      </c>
      <c r="AJ81" t="s">
        <v>40</v>
      </c>
      <c r="AK81" t="s">
        <v>40</v>
      </c>
      <c r="AL81" t="s">
        <v>40</v>
      </c>
    </row>
    <row r="82" spans="1:38">
      <c r="A82" t="s">
        <v>632</v>
      </c>
      <c r="B82" t="s">
        <v>633</v>
      </c>
      <c r="C82" t="s">
        <v>634</v>
      </c>
      <c r="D82" t="s">
        <v>40</v>
      </c>
      <c r="E82" t="s">
        <v>40</v>
      </c>
      <c r="F82" t="s">
        <v>42</v>
      </c>
      <c r="G82" t="s">
        <v>105</v>
      </c>
      <c r="H82" t="s">
        <v>256</v>
      </c>
      <c r="I82" t="s">
        <v>635</v>
      </c>
      <c r="J82" t="s">
        <v>183</v>
      </c>
      <c r="K82" t="s">
        <v>40</v>
      </c>
      <c r="L82" t="s">
        <v>121</v>
      </c>
      <c r="M82" t="s">
        <v>190</v>
      </c>
      <c r="N82" t="s">
        <v>258</v>
      </c>
      <c r="O82" s="1">
        <v>45363</v>
      </c>
      <c r="P82" t="s">
        <v>636</v>
      </c>
      <c r="Q82" s="1">
        <v>45391</v>
      </c>
      <c r="R82" t="s">
        <v>637</v>
      </c>
      <c r="S82" t="s">
        <v>52</v>
      </c>
      <c r="T82">
        <v>0</v>
      </c>
      <c r="U82">
        <v>0</v>
      </c>
      <c r="V82">
        <v>0</v>
      </c>
      <c r="W82" t="s">
        <v>638</v>
      </c>
      <c r="X82">
        <v>0</v>
      </c>
      <c r="Y82">
        <v>0</v>
      </c>
      <c r="Z82">
        <v>20150.09</v>
      </c>
      <c r="AA82" s="2">
        <f t="shared" si="1"/>
        <v>0</v>
      </c>
      <c r="AB82" t="s">
        <v>40</v>
      </c>
      <c r="AC82" t="s">
        <v>54</v>
      </c>
      <c r="AD82" t="s">
        <v>639</v>
      </c>
      <c r="AE82" t="s">
        <v>262</v>
      </c>
      <c r="AF82" t="s">
        <v>40</v>
      </c>
      <c r="AG82" t="s">
        <v>40</v>
      </c>
      <c r="AH82" t="s">
        <v>40</v>
      </c>
      <c r="AI82" t="s">
        <v>40</v>
      </c>
      <c r="AJ82" t="s">
        <v>40</v>
      </c>
      <c r="AK82" t="s">
        <v>40</v>
      </c>
      <c r="AL82" t="s">
        <v>40</v>
      </c>
    </row>
    <row r="83" spans="1:38">
      <c r="A83" t="s">
        <v>640</v>
      </c>
      <c r="B83" t="s">
        <v>641</v>
      </c>
      <c r="C83" t="s">
        <v>642</v>
      </c>
      <c r="D83" t="s">
        <v>40</v>
      </c>
      <c r="E83" t="s">
        <v>40</v>
      </c>
      <c r="F83" t="s">
        <v>42</v>
      </c>
      <c r="G83" t="s">
        <v>105</v>
      </c>
      <c r="H83" t="s">
        <v>256</v>
      </c>
      <c r="I83" t="s">
        <v>266</v>
      </c>
      <c r="J83" t="s">
        <v>46</v>
      </c>
      <c r="K83" t="s">
        <v>40</v>
      </c>
      <c r="L83" t="s">
        <v>108</v>
      </c>
      <c r="M83" t="s">
        <v>350</v>
      </c>
      <c r="N83" t="s">
        <v>40</v>
      </c>
      <c r="O83" s="1">
        <v>45575</v>
      </c>
      <c r="P83" t="s">
        <v>643</v>
      </c>
      <c r="Q83" t="s">
        <v>40</v>
      </c>
      <c r="R83" t="s">
        <v>40</v>
      </c>
      <c r="S83" t="s">
        <v>52</v>
      </c>
      <c r="T83">
        <v>0</v>
      </c>
      <c r="U83">
        <v>0</v>
      </c>
      <c r="V83">
        <v>0</v>
      </c>
      <c r="W83" t="s">
        <v>644</v>
      </c>
      <c r="X83">
        <v>0</v>
      </c>
      <c r="Y83">
        <v>0</v>
      </c>
      <c r="Z83">
        <v>117.63</v>
      </c>
      <c r="AA83" s="2">
        <f t="shared" si="1"/>
        <v>0</v>
      </c>
      <c r="AB83" t="s">
        <v>40</v>
      </c>
      <c r="AC83" t="s">
        <v>100</v>
      </c>
      <c r="AD83" t="s">
        <v>40</v>
      </c>
      <c r="AE83" t="s">
        <v>262</v>
      </c>
      <c r="AF83" t="s">
        <v>40</v>
      </c>
      <c r="AG83" t="s">
        <v>40</v>
      </c>
      <c r="AH83" t="s">
        <v>40</v>
      </c>
      <c r="AI83" t="s">
        <v>40</v>
      </c>
      <c r="AJ83" t="s">
        <v>40</v>
      </c>
      <c r="AK83" t="s">
        <v>40</v>
      </c>
      <c r="AL83" t="s">
        <v>40</v>
      </c>
    </row>
    <row r="84" spans="1:38">
      <c r="A84" t="s">
        <v>645</v>
      </c>
      <c r="B84" t="s">
        <v>646</v>
      </c>
      <c r="C84" t="s">
        <v>647</v>
      </c>
      <c r="D84" t="s">
        <v>170</v>
      </c>
      <c r="E84" t="s">
        <v>648</v>
      </c>
      <c r="F84" t="s">
        <v>42</v>
      </c>
      <c r="G84" t="s">
        <v>105</v>
      </c>
      <c r="H84" t="s">
        <v>256</v>
      </c>
      <c r="I84" t="s">
        <v>257</v>
      </c>
      <c r="J84" t="s">
        <v>46</v>
      </c>
      <c r="K84" t="s">
        <v>40</v>
      </c>
      <c r="L84" t="s">
        <v>108</v>
      </c>
      <c r="M84" t="s">
        <v>649</v>
      </c>
      <c r="N84" t="s">
        <v>40</v>
      </c>
      <c r="O84" s="1">
        <v>45581</v>
      </c>
      <c r="P84" t="s">
        <v>496</v>
      </c>
      <c r="Q84" s="1">
        <v>45590</v>
      </c>
      <c r="R84" t="s">
        <v>580</v>
      </c>
      <c r="S84" t="s">
        <v>52</v>
      </c>
      <c r="T84">
        <v>0</v>
      </c>
      <c r="U84">
        <v>0</v>
      </c>
      <c r="V84">
        <v>0</v>
      </c>
      <c r="W84" t="s">
        <v>650</v>
      </c>
      <c r="X84">
        <v>0</v>
      </c>
      <c r="Y84">
        <v>0</v>
      </c>
      <c r="Z84">
        <v>2431.05</v>
      </c>
      <c r="AA84" s="2">
        <f t="shared" si="1"/>
        <v>0</v>
      </c>
      <c r="AB84" t="s">
        <v>40</v>
      </c>
      <c r="AC84" t="s">
        <v>54</v>
      </c>
      <c r="AD84" t="s">
        <v>40</v>
      </c>
      <c r="AE84" t="s">
        <v>262</v>
      </c>
      <c r="AF84" t="s">
        <v>40</v>
      </c>
      <c r="AG84" t="s">
        <v>40</v>
      </c>
      <c r="AH84" t="s">
        <v>40</v>
      </c>
      <c r="AI84" t="s">
        <v>40</v>
      </c>
      <c r="AJ84" t="s">
        <v>40</v>
      </c>
      <c r="AK84" t="s">
        <v>40</v>
      </c>
      <c r="AL84" t="s">
        <v>40</v>
      </c>
    </row>
    <row r="85" spans="1:38">
      <c r="A85" t="s">
        <v>651</v>
      </c>
      <c r="B85" t="s">
        <v>652</v>
      </c>
      <c r="C85" t="s">
        <v>653</v>
      </c>
      <c r="D85" t="s">
        <v>40</v>
      </c>
      <c r="E85" t="s">
        <v>40</v>
      </c>
      <c r="F85" t="s">
        <v>42</v>
      </c>
      <c r="G85" t="s">
        <v>105</v>
      </c>
      <c r="H85" t="s">
        <v>256</v>
      </c>
      <c r="I85" t="s">
        <v>654</v>
      </c>
      <c r="J85" t="s">
        <v>46</v>
      </c>
      <c r="K85" t="s">
        <v>40</v>
      </c>
      <c r="L85" t="s">
        <v>121</v>
      </c>
      <c r="M85" t="s">
        <v>350</v>
      </c>
      <c r="N85" t="s">
        <v>40</v>
      </c>
      <c r="O85" s="1">
        <v>45593</v>
      </c>
      <c r="P85" t="s">
        <v>396</v>
      </c>
      <c r="Q85" s="1">
        <v>45611</v>
      </c>
      <c r="R85" t="s">
        <v>397</v>
      </c>
      <c r="S85" t="s">
        <v>277</v>
      </c>
      <c r="T85">
        <v>0</v>
      </c>
      <c r="U85">
        <v>0</v>
      </c>
      <c r="V85">
        <v>0</v>
      </c>
      <c r="W85" t="s">
        <v>655</v>
      </c>
      <c r="X85">
        <v>0</v>
      </c>
      <c r="Y85">
        <v>0</v>
      </c>
      <c r="Z85">
        <v>174.69</v>
      </c>
      <c r="AA85" s="2">
        <f t="shared" si="1"/>
        <v>0</v>
      </c>
      <c r="AB85" t="s">
        <v>40</v>
      </c>
      <c r="AC85" t="s">
        <v>54</v>
      </c>
      <c r="AD85" t="s">
        <v>40</v>
      </c>
      <c r="AE85" t="s">
        <v>262</v>
      </c>
      <c r="AF85" t="s">
        <v>40</v>
      </c>
      <c r="AG85" t="s">
        <v>40</v>
      </c>
      <c r="AH85" t="s">
        <v>40</v>
      </c>
      <c r="AI85" t="s">
        <v>40</v>
      </c>
      <c r="AJ85" t="s">
        <v>40</v>
      </c>
      <c r="AK85" t="s">
        <v>40</v>
      </c>
      <c r="AL85" t="s">
        <v>40</v>
      </c>
    </row>
    <row r="86" spans="1:38">
      <c r="A86" t="s">
        <v>656</v>
      </c>
      <c r="B86" t="s">
        <v>40</v>
      </c>
      <c r="C86" t="s">
        <v>657</v>
      </c>
      <c r="D86" t="s">
        <v>170</v>
      </c>
      <c r="E86" t="s">
        <v>40</v>
      </c>
      <c r="F86" t="s">
        <v>42</v>
      </c>
      <c r="G86" t="s">
        <v>658</v>
      </c>
      <c r="H86" t="s">
        <v>256</v>
      </c>
      <c r="I86" t="s">
        <v>659</v>
      </c>
      <c r="J86" t="s">
        <v>119</v>
      </c>
      <c r="K86" t="s">
        <v>660</v>
      </c>
      <c r="L86" t="s">
        <v>121</v>
      </c>
      <c r="M86" t="s">
        <v>174</v>
      </c>
      <c r="N86" t="s">
        <v>661</v>
      </c>
      <c r="O86" s="1">
        <v>45754</v>
      </c>
      <c r="P86" t="s">
        <v>662</v>
      </c>
      <c r="Q86" t="s">
        <v>40</v>
      </c>
      <c r="R86" t="s">
        <v>40</v>
      </c>
      <c r="S86" t="s">
        <v>133</v>
      </c>
      <c r="T86">
        <v>0</v>
      </c>
      <c r="U86">
        <v>0</v>
      </c>
      <c r="V86">
        <v>0</v>
      </c>
      <c r="W86" t="s">
        <v>663</v>
      </c>
      <c r="X86">
        <v>0</v>
      </c>
      <c r="Y86">
        <v>0</v>
      </c>
      <c r="Z86">
        <v>28521</v>
      </c>
      <c r="AA86" s="2">
        <f t="shared" si="1"/>
        <v>0</v>
      </c>
      <c r="AB86" t="s">
        <v>40</v>
      </c>
      <c r="AC86" t="s">
        <v>100</v>
      </c>
      <c r="AD86" t="s">
        <v>40</v>
      </c>
      <c r="AE86" t="s">
        <v>262</v>
      </c>
      <c r="AF86" t="s">
        <v>40</v>
      </c>
      <c r="AG86" t="s">
        <v>40</v>
      </c>
      <c r="AH86" t="s">
        <v>40</v>
      </c>
      <c r="AI86" t="s">
        <v>40</v>
      </c>
      <c r="AJ86" t="s">
        <v>40</v>
      </c>
      <c r="AK86" t="s">
        <v>40</v>
      </c>
      <c r="AL86" t="s">
        <v>40</v>
      </c>
    </row>
    <row r="87" spans="1:38">
      <c r="A87" t="s">
        <v>664</v>
      </c>
      <c r="B87" t="s">
        <v>665</v>
      </c>
      <c r="C87" t="s">
        <v>666</v>
      </c>
      <c r="D87" t="s">
        <v>40</v>
      </c>
      <c r="E87" t="s">
        <v>40</v>
      </c>
      <c r="F87" t="s">
        <v>59</v>
      </c>
      <c r="G87" t="s">
        <v>105</v>
      </c>
      <c r="H87" t="s">
        <v>256</v>
      </c>
      <c r="I87" t="s">
        <v>266</v>
      </c>
      <c r="J87" t="s">
        <v>46</v>
      </c>
      <c r="K87" t="s">
        <v>40</v>
      </c>
      <c r="L87" t="s">
        <v>121</v>
      </c>
      <c r="M87" t="s">
        <v>190</v>
      </c>
      <c r="N87" t="s">
        <v>431</v>
      </c>
      <c r="O87" s="1">
        <v>45812</v>
      </c>
      <c r="P87" t="s">
        <v>432</v>
      </c>
      <c r="Q87" t="s">
        <v>40</v>
      </c>
      <c r="R87" t="s">
        <v>40</v>
      </c>
      <c r="S87" t="s">
        <v>99</v>
      </c>
      <c r="T87">
        <v>0</v>
      </c>
      <c r="U87">
        <v>0</v>
      </c>
      <c r="V87">
        <v>0</v>
      </c>
      <c r="W87" t="s">
        <v>667</v>
      </c>
      <c r="X87">
        <v>0</v>
      </c>
      <c r="Y87">
        <v>0</v>
      </c>
      <c r="Z87">
        <v>2774.44</v>
      </c>
      <c r="AA87" s="2">
        <f t="shared" si="1"/>
        <v>0</v>
      </c>
      <c r="AB87" t="s">
        <v>40</v>
      </c>
      <c r="AC87" t="s">
        <v>100</v>
      </c>
      <c r="AD87" t="s">
        <v>40</v>
      </c>
      <c r="AE87" t="s">
        <v>262</v>
      </c>
      <c r="AF87" t="s">
        <v>40</v>
      </c>
      <c r="AG87" t="s">
        <v>40</v>
      </c>
      <c r="AH87" t="s">
        <v>40</v>
      </c>
      <c r="AI87" t="s">
        <v>40</v>
      </c>
      <c r="AJ87" t="s">
        <v>40</v>
      </c>
      <c r="AK87" t="s">
        <v>40</v>
      </c>
      <c r="AL87" t="s">
        <v>40</v>
      </c>
    </row>
    <row r="88" spans="1:38">
      <c r="A88" t="s">
        <v>668</v>
      </c>
      <c r="B88" t="s">
        <v>669</v>
      </c>
      <c r="C88" t="s">
        <v>670</v>
      </c>
      <c r="D88" t="s">
        <v>40</v>
      </c>
      <c r="E88" t="s">
        <v>40</v>
      </c>
      <c r="F88" t="s">
        <v>59</v>
      </c>
      <c r="G88" t="s">
        <v>105</v>
      </c>
      <c r="H88" t="s">
        <v>256</v>
      </c>
      <c r="I88" t="s">
        <v>474</v>
      </c>
      <c r="J88" t="s">
        <v>46</v>
      </c>
      <c r="K88" t="s">
        <v>40</v>
      </c>
      <c r="L88" t="s">
        <v>121</v>
      </c>
      <c r="M88" t="s">
        <v>649</v>
      </c>
      <c r="N88" t="s">
        <v>431</v>
      </c>
      <c r="O88" s="1">
        <v>45826</v>
      </c>
      <c r="P88" t="s">
        <v>671</v>
      </c>
      <c r="Q88" t="s">
        <v>40</v>
      </c>
      <c r="R88" t="s">
        <v>40</v>
      </c>
      <c r="S88" t="s">
        <v>277</v>
      </c>
      <c r="T88">
        <v>0</v>
      </c>
      <c r="U88">
        <v>0</v>
      </c>
      <c r="V88">
        <v>0</v>
      </c>
      <c r="W88" t="s">
        <v>672</v>
      </c>
      <c r="X88">
        <v>0</v>
      </c>
      <c r="Y88">
        <v>0</v>
      </c>
      <c r="Z88">
        <v>5750.41</v>
      </c>
      <c r="AA88" s="2">
        <f t="shared" si="1"/>
        <v>0</v>
      </c>
      <c r="AB88" t="s">
        <v>40</v>
      </c>
      <c r="AC88" t="s">
        <v>100</v>
      </c>
      <c r="AD88" t="s">
        <v>40</v>
      </c>
      <c r="AE88" t="s">
        <v>262</v>
      </c>
      <c r="AF88" t="s">
        <v>40</v>
      </c>
      <c r="AG88" t="s">
        <v>40</v>
      </c>
      <c r="AH88" t="s">
        <v>40</v>
      </c>
      <c r="AI88" t="s">
        <v>40</v>
      </c>
      <c r="AJ88" t="s">
        <v>40</v>
      </c>
      <c r="AK88" t="s">
        <v>40</v>
      </c>
      <c r="AL88" t="s">
        <v>40</v>
      </c>
    </row>
    <row r="89" spans="1:38">
      <c r="A89" t="s">
        <v>673</v>
      </c>
      <c r="B89" t="s">
        <v>674</v>
      </c>
      <c r="C89" t="s">
        <v>675</v>
      </c>
      <c r="D89" t="s">
        <v>40</v>
      </c>
      <c r="E89" t="s">
        <v>40</v>
      </c>
      <c r="F89" t="s">
        <v>59</v>
      </c>
      <c r="G89" t="s">
        <v>105</v>
      </c>
      <c r="H89" t="s">
        <v>256</v>
      </c>
      <c r="I89" t="s">
        <v>676</v>
      </c>
      <c r="J89" t="s">
        <v>46</v>
      </c>
      <c r="K89" t="s">
        <v>40</v>
      </c>
      <c r="L89" t="s">
        <v>121</v>
      </c>
      <c r="M89" t="s">
        <v>190</v>
      </c>
      <c r="N89" t="s">
        <v>431</v>
      </c>
      <c r="O89" s="1">
        <v>45827</v>
      </c>
      <c r="P89" t="s">
        <v>677</v>
      </c>
      <c r="Q89" t="s">
        <v>40</v>
      </c>
      <c r="R89" t="s">
        <v>40</v>
      </c>
      <c r="S89" t="s">
        <v>277</v>
      </c>
      <c r="T89">
        <v>0</v>
      </c>
      <c r="U89">
        <v>0</v>
      </c>
      <c r="V89">
        <v>1755</v>
      </c>
      <c r="W89" t="s">
        <v>678</v>
      </c>
      <c r="X89">
        <v>0</v>
      </c>
      <c r="Y89">
        <v>0</v>
      </c>
      <c r="Z89">
        <v>7288.15</v>
      </c>
      <c r="AA89" s="2">
        <f t="shared" si="1"/>
        <v>0.240801849577739</v>
      </c>
      <c r="AB89" t="s">
        <v>40</v>
      </c>
      <c r="AC89" t="s">
        <v>100</v>
      </c>
      <c r="AD89" t="s">
        <v>40</v>
      </c>
      <c r="AE89" t="s">
        <v>262</v>
      </c>
      <c r="AF89" t="s">
        <v>40</v>
      </c>
      <c r="AG89" t="s">
        <v>40</v>
      </c>
      <c r="AH89" t="s">
        <v>40</v>
      </c>
      <c r="AI89" t="s">
        <v>40</v>
      </c>
      <c r="AJ89" t="s">
        <v>40</v>
      </c>
      <c r="AK89" t="s">
        <v>40</v>
      </c>
      <c r="AL89" t="s">
        <v>40</v>
      </c>
    </row>
    <row r="90" spans="1:38">
      <c r="A90" t="s">
        <v>164</v>
      </c>
      <c r="B90" t="s">
        <v>679</v>
      </c>
      <c r="C90" t="s">
        <v>680</v>
      </c>
      <c r="D90" t="s">
        <v>40</v>
      </c>
      <c r="E90" t="s">
        <v>40</v>
      </c>
      <c r="F90" t="s">
        <v>117</v>
      </c>
      <c r="G90" t="s">
        <v>105</v>
      </c>
      <c r="H90" t="s">
        <v>256</v>
      </c>
      <c r="I90" t="s">
        <v>257</v>
      </c>
      <c r="J90" t="s">
        <v>46</v>
      </c>
      <c r="K90" t="s">
        <v>40</v>
      </c>
      <c r="L90" t="s">
        <v>121</v>
      </c>
      <c r="M90" t="s">
        <v>350</v>
      </c>
      <c r="N90" t="s">
        <v>431</v>
      </c>
      <c r="O90" s="1">
        <v>45832</v>
      </c>
      <c r="P90" t="s">
        <v>681</v>
      </c>
      <c r="Q90" t="s">
        <v>40</v>
      </c>
      <c r="R90" t="s">
        <v>40</v>
      </c>
      <c r="S90" t="s">
        <v>99</v>
      </c>
      <c r="T90">
        <v>0</v>
      </c>
      <c r="U90">
        <v>0</v>
      </c>
      <c r="V90">
        <v>0</v>
      </c>
      <c r="W90" t="s">
        <v>40</v>
      </c>
      <c r="X90" t="s">
        <v>40</v>
      </c>
      <c r="Y90" t="s">
        <v>40</v>
      </c>
      <c r="Z90" t="s">
        <v>40</v>
      </c>
      <c r="AA90" s="2" t="e">
        <f t="shared" si="1"/>
        <v>#VALUE!</v>
      </c>
      <c r="AB90" t="s">
        <v>40</v>
      </c>
      <c r="AC90" t="s">
        <v>100</v>
      </c>
      <c r="AD90" t="s">
        <v>40</v>
      </c>
      <c r="AE90" t="s">
        <v>262</v>
      </c>
      <c r="AF90" t="s">
        <v>40</v>
      </c>
      <c r="AG90" t="s">
        <v>40</v>
      </c>
      <c r="AH90" t="s">
        <v>40</v>
      </c>
      <c r="AI90" t="s">
        <v>40</v>
      </c>
      <c r="AJ90" t="s">
        <v>40</v>
      </c>
      <c r="AK90" t="s">
        <v>40</v>
      </c>
      <c r="AL90" t="s">
        <v>40</v>
      </c>
    </row>
    <row r="91" spans="1:38">
      <c r="A91" t="s">
        <v>682</v>
      </c>
      <c r="B91" t="s">
        <v>683</v>
      </c>
      <c r="C91" t="s">
        <v>684</v>
      </c>
      <c r="D91" t="s">
        <v>170</v>
      </c>
      <c r="E91" t="s">
        <v>40</v>
      </c>
      <c r="F91" t="s">
        <v>59</v>
      </c>
      <c r="G91" t="s">
        <v>105</v>
      </c>
      <c r="H91" t="s">
        <v>256</v>
      </c>
      <c r="I91" t="s">
        <v>635</v>
      </c>
      <c r="J91" t="s">
        <v>119</v>
      </c>
      <c r="K91" t="s">
        <v>121</v>
      </c>
      <c r="L91" t="s">
        <v>108</v>
      </c>
      <c r="M91" t="s">
        <v>190</v>
      </c>
      <c r="N91" t="s">
        <v>123</v>
      </c>
      <c r="O91" s="1">
        <v>45911</v>
      </c>
      <c r="P91" t="s">
        <v>685</v>
      </c>
      <c r="Q91" s="1">
        <v>45954</v>
      </c>
      <c r="R91" t="s">
        <v>686</v>
      </c>
      <c r="S91" t="s">
        <v>52</v>
      </c>
      <c r="T91">
        <v>0</v>
      </c>
      <c r="U91">
        <v>0</v>
      </c>
      <c r="V91">
        <v>0</v>
      </c>
      <c r="W91" t="s">
        <v>687</v>
      </c>
      <c r="X91" t="s">
        <v>40</v>
      </c>
      <c r="Y91" t="s">
        <v>40</v>
      </c>
      <c r="Z91">
        <v>51674.05</v>
      </c>
      <c r="AA91" s="2">
        <f t="shared" si="1"/>
        <v>0</v>
      </c>
      <c r="AB91">
        <v>19630.47</v>
      </c>
      <c r="AC91" t="s">
        <v>688</v>
      </c>
      <c r="AD91" t="s">
        <v>40</v>
      </c>
      <c r="AE91" t="s">
        <v>262</v>
      </c>
      <c r="AF91" t="s">
        <v>40</v>
      </c>
      <c r="AG91" t="s">
        <v>40</v>
      </c>
      <c r="AH91" t="s">
        <v>40</v>
      </c>
      <c r="AI91" t="s">
        <v>40</v>
      </c>
      <c r="AJ91" t="s">
        <v>40</v>
      </c>
      <c r="AK91" t="s">
        <v>40</v>
      </c>
      <c r="AL91" t="s">
        <v>40</v>
      </c>
    </row>
    <row r="92" spans="1:38">
      <c r="A92" t="s">
        <v>689</v>
      </c>
      <c r="B92" t="s">
        <v>690</v>
      </c>
      <c r="C92" t="s">
        <v>691</v>
      </c>
      <c r="D92" t="s">
        <v>40</v>
      </c>
      <c r="E92" t="s">
        <v>691</v>
      </c>
      <c r="F92" t="s">
        <v>42</v>
      </c>
      <c r="G92" t="s">
        <v>105</v>
      </c>
      <c r="H92" t="s">
        <v>256</v>
      </c>
      <c r="I92" t="s">
        <v>692</v>
      </c>
      <c r="J92" t="s">
        <v>119</v>
      </c>
      <c r="K92" t="s">
        <v>40</v>
      </c>
      <c r="L92" t="s">
        <v>693</v>
      </c>
      <c r="M92" t="s">
        <v>350</v>
      </c>
      <c r="N92" t="s">
        <v>694</v>
      </c>
      <c r="O92" s="1">
        <v>46009</v>
      </c>
      <c r="P92" t="s">
        <v>695</v>
      </c>
      <c r="Q92" s="1">
        <v>46030</v>
      </c>
      <c r="R92" t="s">
        <v>594</v>
      </c>
      <c r="S92" t="s">
        <v>52</v>
      </c>
      <c r="T92">
        <v>0</v>
      </c>
      <c r="U92">
        <v>0</v>
      </c>
      <c r="V92">
        <v>0</v>
      </c>
      <c r="W92" t="s">
        <v>40</v>
      </c>
      <c r="X92" t="s">
        <v>40</v>
      </c>
      <c r="Y92" t="s">
        <v>40</v>
      </c>
      <c r="Z92">
        <v>20343.54</v>
      </c>
      <c r="AA92" s="2">
        <f t="shared" si="1"/>
        <v>0</v>
      </c>
      <c r="AB92">
        <v>7404.15</v>
      </c>
      <c r="AC92" t="s">
        <v>696</v>
      </c>
      <c r="AD92" t="s">
        <v>40</v>
      </c>
      <c r="AE92" t="s">
        <v>262</v>
      </c>
      <c r="AF92" t="s">
        <v>40</v>
      </c>
      <c r="AG92" t="s">
        <v>40</v>
      </c>
      <c r="AH92" t="s">
        <v>40</v>
      </c>
      <c r="AI92" t="s">
        <v>40</v>
      </c>
      <c r="AJ92" t="s">
        <v>40</v>
      </c>
      <c r="AK92" t="s">
        <v>40</v>
      </c>
      <c r="AL92" t="s">
        <v>40</v>
      </c>
    </row>
    <row r="93" spans="1:38">
      <c r="A93" t="s">
        <v>697</v>
      </c>
      <c r="B93" t="s">
        <v>698</v>
      </c>
      <c r="C93" t="s">
        <v>699</v>
      </c>
      <c r="D93" t="s">
        <v>40</v>
      </c>
      <c r="E93" t="s">
        <v>40</v>
      </c>
      <c r="F93" t="s">
        <v>42</v>
      </c>
      <c r="G93" t="s">
        <v>196</v>
      </c>
      <c r="H93" t="s">
        <v>137</v>
      </c>
      <c r="I93" t="s">
        <v>290</v>
      </c>
      <c r="J93" t="s">
        <v>46</v>
      </c>
      <c r="K93" t="s">
        <v>40</v>
      </c>
      <c r="L93" t="s">
        <v>197</v>
      </c>
      <c r="M93" t="s">
        <v>700</v>
      </c>
      <c r="N93" t="s">
        <v>198</v>
      </c>
      <c r="O93" s="1">
        <v>43891</v>
      </c>
      <c r="P93" t="s">
        <v>701</v>
      </c>
      <c r="Q93" s="1">
        <v>43952</v>
      </c>
      <c r="R93" t="s">
        <v>702</v>
      </c>
      <c r="S93" t="s">
        <v>277</v>
      </c>
      <c r="T93">
        <v>0</v>
      </c>
      <c r="U93">
        <v>0</v>
      </c>
      <c r="V93">
        <v>0</v>
      </c>
      <c r="W93" t="s">
        <v>703</v>
      </c>
      <c r="X93">
        <v>0</v>
      </c>
      <c r="Y93">
        <v>0</v>
      </c>
      <c r="Z93" t="s">
        <v>40</v>
      </c>
      <c r="AA93" s="2" t="e">
        <f t="shared" si="1"/>
        <v>#VALUE!</v>
      </c>
      <c r="AB93" t="s">
        <v>40</v>
      </c>
      <c r="AC93" t="s">
        <v>54</v>
      </c>
      <c r="AD93" t="s">
        <v>40</v>
      </c>
      <c r="AE93" t="s">
        <v>142</v>
      </c>
      <c r="AF93" t="s">
        <v>40</v>
      </c>
      <c r="AG93" t="s">
        <v>40</v>
      </c>
      <c r="AH93" t="s">
        <v>40</v>
      </c>
      <c r="AI93" t="s">
        <v>40</v>
      </c>
      <c r="AJ93" t="s">
        <v>40</v>
      </c>
      <c r="AK93" t="s">
        <v>40</v>
      </c>
      <c r="AL93" t="s">
        <v>40</v>
      </c>
    </row>
    <row r="94" spans="1:38">
      <c r="A94" t="s">
        <v>704</v>
      </c>
      <c r="B94" t="s">
        <v>705</v>
      </c>
      <c r="C94" t="s">
        <v>706</v>
      </c>
      <c r="D94" t="s">
        <v>40</v>
      </c>
      <c r="E94" t="s">
        <v>40</v>
      </c>
      <c r="F94" t="s">
        <v>42</v>
      </c>
      <c r="G94" t="s">
        <v>196</v>
      </c>
      <c r="H94" t="s">
        <v>137</v>
      </c>
      <c r="I94" t="s">
        <v>401</v>
      </c>
      <c r="J94" t="s">
        <v>46</v>
      </c>
      <c r="K94" t="s">
        <v>40</v>
      </c>
      <c r="L94" t="s">
        <v>197</v>
      </c>
      <c r="M94" t="s">
        <v>139</v>
      </c>
      <c r="N94" t="s">
        <v>198</v>
      </c>
      <c r="O94" s="1">
        <v>43952</v>
      </c>
      <c r="P94" t="s">
        <v>702</v>
      </c>
      <c r="Q94" s="1">
        <v>44004</v>
      </c>
      <c r="R94" t="s">
        <v>707</v>
      </c>
      <c r="S94" t="s">
        <v>277</v>
      </c>
      <c r="T94">
        <v>0</v>
      </c>
      <c r="U94">
        <v>0</v>
      </c>
      <c r="V94">
        <v>21940</v>
      </c>
      <c r="W94" t="s">
        <v>708</v>
      </c>
      <c r="X94">
        <v>0</v>
      </c>
      <c r="Y94">
        <v>0</v>
      </c>
      <c r="Z94" t="s">
        <v>40</v>
      </c>
      <c r="AA94" s="2" t="e">
        <f t="shared" si="1"/>
        <v>#VALUE!</v>
      </c>
      <c r="AB94" t="s">
        <v>40</v>
      </c>
      <c r="AC94" t="s">
        <v>100</v>
      </c>
      <c r="AD94" t="s">
        <v>40</v>
      </c>
      <c r="AE94" t="s">
        <v>142</v>
      </c>
      <c r="AF94" t="s">
        <v>40</v>
      </c>
      <c r="AG94" t="s">
        <v>40</v>
      </c>
      <c r="AH94" t="s">
        <v>40</v>
      </c>
      <c r="AI94" t="s">
        <v>40</v>
      </c>
      <c r="AJ94" t="s">
        <v>40</v>
      </c>
      <c r="AK94" t="s">
        <v>40</v>
      </c>
      <c r="AL94" t="s">
        <v>40</v>
      </c>
    </row>
    <row r="95" spans="1:38">
      <c r="A95" t="s">
        <v>709</v>
      </c>
      <c r="B95" t="s">
        <v>710</v>
      </c>
      <c r="C95" t="s">
        <v>711</v>
      </c>
      <c r="D95" t="s">
        <v>40</v>
      </c>
      <c r="E95" t="s">
        <v>40</v>
      </c>
      <c r="F95" t="s">
        <v>42</v>
      </c>
      <c r="G95" t="s">
        <v>196</v>
      </c>
      <c r="H95" t="s">
        <v>137</v>
      </c>
      <c r="I95" t="s">
        <v>712</v>
      </c>
      <c r="J95" t="s">
        <v>46</v>
      </c>
      <c r="K95" t="s">
        <v>40</v>
      </c>
      <c r="L95" t="s">
        <v>197</v>
      </c>
      <c r="M95" t="s">
        <v>139</v>
      </c>
      <c r="N95" t="s">
        <v>198</v>
      </c>
      <c r="O95" s="1">
        <v>44409</v>
      </c>
      <c r="P95" t="s">
        <v>713</v>
      </c>
      <c r="Q95" s="1">
        <v>44421</v>
      </c>
      <c r="R95" t="s">
        <v>714</v>
      </c>
      <c r="S95" t="s">
        <v>277</v>
      </c>
      <c r="T95">
        <v>0</v>
      </c>
      <c r="U95">
        <v>0</v>
      </c>
      <c r="V95">
        <v>27950</v>
      </c>
      <c r="W95" t="s">
        <v>715</v>
      </c>
      <c r="X95">
        <v>0</v>
      </c>
      <c r="Y95">
        <v>0</v>
      </c>
      <c r="Z95" t="s">
        <v>40</v>
      </c>
      <c r="AA95" s="2" t="e">
        <f t="shared" si="1"/>
        <v>#VALUE!</v>
      </c>
      <c r="AB95" t="s">
        <v>40</v>
      </c>
      <c r="AC95" t="s">
        <v>100</v>
      </c>
      <c r="AD95" t="s">
        <v>40</v>
      </c>
      <c r="AE95" t="s">
        <v>142</v>
      </c>
      <c r="AF95" t="s">
        <v>40</v>
      </c>
      <c r="AG95" t="s">
        <v>40</v>
      </c>
      <c r="AH95" t="s">
        <v>40</v>
      </c>
      <c r="AI95" t="s">
        <v>40</v>
      </c>
      <c r="AJ95" t="s">
        <v>40</v>
      </c>
      <c r="AK95" t="s">
        <v>40</v>
      </c>
      <c r="AL95" t="s">
        <v>40</v>
      </c>
    </row>
    <row r="96" spans="1:38">
      <c r="A96" t="s">
        <v>164</v>
      </c>
      <c r="B96" t="s">
        <v>716</v>
      </c>
      <c r="C96" t="s">
        <v>717</v>
      </c>
      <c r="D96" t="s">
        <v>40</v>
      </c>
      <c r="E96" t="s">
        <v>40</v>
      </c>
      <c r="F96" t="s">
        <v>117</v>
      </c>
      <c r="G96" t="s">
        <v>289</v>
      </c>
      <c r="H96" t="s">
        <v>137</v>
      </c>
      <c r="I96" t="s">
        <v>718</v>
      </c>
      <c r="J96" t="s">
        <v>46</v>
      </c>
      <c r="K96" t="s">
        <v>40</v>
      </c>
      <c r="L96" t="s">
        <v>197</v>
      </c>
      <c r="M96" t="s">
        <v>719</v>
      </c>
      <c r="N96" t="s">
        <v>198</v>
      </c>
      <c r="O96" s="1">
        <v>44860</v>
      </c>
      <c r="P96" t="s">
        <v>720</v>
      </c>
      <c r="Q96" s="1">
        <v>44909</v>
      </c>
      <c r="R96" t="s">
        <v>721</v>
      </c>
      <c r="S96" t="s">
        <v>277</v>
      </c>
      <c r="T96">
        <v>0</v>
      </c>
      <c r="U96">
        <v>0</v>
      </c>
      <c r="V96">
        <v>0</v>
      </c>
      <c r="W96" t="s">
        <v>722</v>
      </c>
      <c r="X96">
        <v>0</v>
      </c>
      <c r="Y96">
        <v>0</v>
      </c>
      <c r="Z96" t="s">
        <v>40</v>
      </c>
      <c r="AA96" s="2" t="e">
        <f t="shared" si="1"/>
        <v>#VALUE!</v>
      </c>
      <c r="AB96" t="s">
        <v>40</v>
      </c>
      <c r="AC96" t="s">
        <v>54</v>
      </c>
      <c r="AD96" t="s">
        <v>40</v>
      </c>
      <c r="AE96" t="s">
        <v>142</v>
      </c>
      <c r="AF96" t="s">
        <v>40</v>
      </c>
      <c r="AG96" t="s">
        <v>40</v>
      </c>
      <c r="AH96" t="s">
        <v>40</v>
      </c>
      <c r="AI96" t="s">
        <v>40</v>
      </c>
      <c r="AJ96" t="s">
        <v>40</v>
      </c>
      <c r="AK96" t="s">
        <v>40</v>
      </c>
      <c r="AL96" t="s">
        <v>40</v>
      </c>
    </row>
    <row r="97" spans="1:38">
      <c r="A97" t="s">
        <v>164</v>
      </c>
      <c r="B97" t="s">
        <v>723</v>
      </c>
      <c r="C97" t="s">
        <v>724</v>
      </c>
      <c r="D97" t="s">
        <v>40</v>
      </c>
      <c r="E97" t="s">
        <v>725</v>
      </c>
      <c r="F97" t="s">
        <v>117</v>
      </c>
      <c r="G97" t="s">
        <v>289</v>
      </c>
      <c r="H97" t="s">
        <v>137</v>
      </c>
      <c r="I97" t="s">
        <v>726</v>
      </c>
      <c r="J97" t="s">
        <v>183</v>
      </c>
      <c r="K97" t="s">
        <v>40</v>
      </c>
      <c r="L97" t="s">
        <v>197</v>
      </c>
      <c r="M97" t="s">
        <v>727</v>
      </c>
      <c r="N97" t="s">
        <v>198</v>
      </c>
      <c r="O97" s="1">
        <v>45187</v>
      </c>
      <c r="P97" t="s">
        <v>728</v>
      </c>
      <c r="Q97" s="1">
        <v>45206</v>
      </c>
      <c r="R97" t="s">
        <v>729</v>
      </c>
      <c r="S97" t="s">
        <v>277</v>
      </c>
      <c r="T97">
        <v>0</v>
      </c>
      <c r="U97">
        <v>0</v>
      </c>
      <c r="V97">
        <v>0</v>
      </c>
      <c r="W97" t="s">
        <v>730</v>
      </c>
      <c r="X97">
        <v>0</v>
      </c>
      <c r="Y97">
        <v>0</v>
      </c>
      <c r="Z97" t="s">
        <v>40</v>
      </c>
      <c r="AA97" s="2" t="e">
        <f t="shared" si="1"/>
        <v>#VALUE!</v>
      </c>
      <c r="AB97" t="s">
        <v>40</v>
      </c>
      <c r="AC97" t="s">
        <v>54</v>
      </c>
      <c r="AD97" t="s">
        <v>40</v>
      </c>
      <c r="AE97" t="s">
        <v>142</v>
      </c>
      <c r="AF97" t="s">
        <v>40</v>
      </c>
      <c r="AG97" t="s">
        <v>40</v>
      </c>
      <c r="AH97" t="s">
        <v>40</v>
      </c>
      <c r="AI97" t="s">
        <v>40</v>
      </c>
      <c r="AJ97" t="s">
        <v>40</v>
      </c>
      <c r="AK97" t="s">
        <v>40</v>
      </c>
      <c r="AL97" t="s">
        <v>40</v>
      </c>
    </row>
    <row r="98" spans="1:38">
      <c r="A98" t="s">
        <v>164</v>
      </c>
      <c r="B98" t="s">
        <v>731</v>
      </c>
      <c r="C98" t="s">
        <v>732</v>
      </c>
      <c r="D98" t="s">
        <v>40</v>
      </c>
      <c r="E98" t="s">
        <v>40</v>
      </c>
      <c r="F98" t="s">
        <v>59</v>
      </c>
      <c r="G98" t="s">
        <v>289</v>
      </c>
      <c r="H98" t="s">
        <v>137</v>
      </c>
      <c r="I98" t="s">
        <v>733</v>
      </c>
      <c r="J98" t="s">
        <v>183</v>
      </c>
      <c r="K98" t="s">
        <v>40</v>
      </c>
      <c r="L98" t="s">
        <v>197</v>
      </c>
      <c r="M98" t="s">
        <v>734</v>
      </c>
      <c r="N98" t="s">
        <v>293</v>
      </c>
      <c r="O98" s="1">
        <v>45295</v>
      </c>
      <c r="P98" t="s">
        <v>735</v>
      </c>
      <c r="Q98" s="1">
        <v>45344</v>
      </c>
      <c r="R98" t="s">
        <v>736</v>
      </c>
      <c r="S98" t="s">
        <v>277</v>
      </c>
      <c r="T98">
        <v>0</v>
      </c>
      <c r="U98">
        <v>0</v>
      </c>
      <c r="V98">
        <v>0</v>
      </c>
      <c r="W98" t="s">
        <v>40</v>
      </c>
      <c r="X98" t="s">
        <v>40</v>
      </c>
      <c r="Y98" t="s">
        <v>40</v>
      </c>
      <c r="Z98" t="s">
        <v>40</v>
      </c>
      <c r="AA98" s="2" t="e">
        <f t="shared" si="1"/>
        <v>#VALUE!</v>
      </c>
      <c r="AB98" t="s">
        <v>40</v>
      </c>
      <c r="AC98" t="s">
        <v>54</v>
      </c>
      <c r="AD98" t="s">
        <v>40</v>
      </c>
      <c r="AE98" t="s">
        <v>142</v>
      </c>
      <c r="AF98" t="s">
        <v>40</v>
      </c>
      <c r="AG98" t="s">
        <v>40</v>
      </c>
      <c r="AH98" t="s">
        <v>40</v>
      </c>
      <c r="AI98" t="s">
        <v>40</v>
      </c>
      <c r="AJ98" t="s">
        <v>40</v>
      </c>
      <c r="AK98" t="s">
        <v>40</v>
      </c>
      <c r="AL98" t="s">
        <v>40</v>
      </c>
    </row>
    <row r="99" spans="1:38">
      <c r="A99" t="s">
        <v>737</v>
      </c>
      <c r="B99" t="s">
        <v>738</v>
      </c>
      <c r="C99" t="s">
        <v>739</v>
      </c>
      <c r="D99" t="s">
        <v>40</v>
      </c>
      <c r="E99" t="s">
        <v>40</v>
      </c>
      <c r="F99" t="s">
        <v>42</v>
      </c>
      <c r="G99" t="s">
        <v>289</v>
      </c>
      <c r="H99" t="s">
        <v>137</v>
      </c>
      <c r="I99" t="s">
        <v>290</v>
      </c>
      <c r="J99" t="s">
        <v>46</v>
      </c>
      <c r="K99" t="s">
        <v>40</v>
      </c>
      <c r="L99" t="s">
        <v>197</v>
      </c>
      <c r="M99" t="s">
        <v>740</v>
      </c>
      <c r="N99" t="s">
        <v>293</v>
      </c>
      <c r="O99" s="1">
        <v>45322</v>
      </c>
      <c r="P99" t="s">
        <v>741</v>
      </c>
      <c r="Q99" s="1">
        <v>45344</v>
      </c>
      <c r="R99" t="s">
        <v>736</v>
      </c>
      <c r="S99" t="s">
        <v>277</v>
      </c>
      <c r="T99">
        <v>0</v>
      </c>
      <c r="U99">
        <v>0</v>
      </c>
      <c r="V99">
        <v>0</v>
      </c>
      <c r="W99" t="s">
        <v>742</v>
      </c>
      <c r="X99">
        <v>0</v>
      </c>
      <c r="Y99">
        <v>0</v>
      </c>
      <c r="Z99">
        <v>20509.02</v>
      </c>
      <c r="AA99" s="2">
        <f t="shared" si="1"/>
        <v>0</v>
      </c>
      <c r="AB99" t="s">
        <v>40</v>
      </c>
      <c r="AC99" t="s">
        <v>54</v>
      </c>
      <c r="AD99" t="s">
        <v>40</v>
      </c>
      <c r="AE99" t="s">
        <v>142</v>
      </c>
      <c r="AF99" t="s">
        <v>40</v>
      </c>
      <c r="AG99" t="s">
        <v>40</v>
      </c>
      <c r="AH99" t="s">
        <v>40</v>
      </c>
      <c r="AI99" t="s">
        <v>40</v>
      </c>
      <c r="AJ99" t="s">
        <v>40</v>
      </c>
      <c r="AK99" t="s">
        <v>40</v>
      </c>
      <c r="AL99" t="s">
        <v>40</v>
      </c>
    </row>
    <row r="100" spans="1:38">
      <c r="A100" t="s">
        <v>164</v>
      </c>
      <c r="B100" t="s">
        <v>743</v>
      </c>
      <c r="C100" t="s">
        <v>744</v>
      </c>
      <c r="D100" t="s">
        <v>40</v>
      </c>
      <c r="E100" t="s">
        <v>40</v>
      </c>
      <c r="F100" t="s">
        <v>59</v>
      </c>
      <c r="G100" t="s">
        <v>289</v>
      </c>
      <c r="H100" t="s">
        <v>137</v>
      </c>
      <c r="I100" t="s">
        <v>138</v>
      </c>
      <c r="J100" t="s">
        <v>183</v>
      </c>
      <c r="K100" t="s">
        <v>40</v>
      </c>
      <c r="L100" t="s">
        <v>197</v>
      </c>
      <c r="M100" t="s">
        <v>745</v>
      </c>
      <c r="N100" t="s">
        <v>293</v>
      </c>
      <c r="O100" s="1">
        <v>45355</v>
      </c>
      <c r="P100" t="s">
        <v>746</v>
      </c>
      <c r="Q100" s="1">
        <v>45391</v>
      </c>
      <c r="R100" t="s">
        <v>637</v>
      </c>
      <c r="S100" t="s">
        <v>277</v>
      </c>
      <c r="T100">
        <v>0</v>
      </c>
      <c r="U100">
        <v>0</v>
      </c>
      <c r="V100">
        <v>0</v>
      </c>
      <c r="W100" t="s">
        <v>747</v>
      </c>
      <c r="X100">
        <v>0</v>
      </c>
      <c r="Y100">
        <v>0</v>
      </c>
      <c r="Z100" t="s">
        <v>40</v>
      </c>
      <c r="AA100" s="2" t="e">
        <f t="shared" si="1"/>
        <v>#VALUE!</v>
      </c>
      <c r="AB100" t="s">
        <v>40</v>
      </c>
      <c r="AC100" t="s">
        <v>54</v>
      </c>
      <c r="AD100" t="s">
        <v>40</v>
      </c>
      <c r="AE100" t="s">
        <v>142</v>
      </c>
      <c r="AF100" t="s">
        <v>40</v>
      </c>
      <c r="AG100" t="s">
        <v>40</v>
      </c>
      <c r="AH100" t="s">
        <v>40</v>
      </c>
      <c r="AI100" t="s">
        <v>40</v>
      </c>
      <c r="AJ100" t="s">
        <v>40</v>
      </c>
      <c r="AK100" t="s">
        <v>40</v>
      </c>
      <c r="AL100" t="s">
        <v>40</v>
      </c>
    </row>
    <row r="101" spans="1:38">
      <c r="A101" t="s">
        <v>164</v>
      </c>
      <c r="B101" t="s">
        <v>748</v>
      </c>
      <c r="C101" t="s">
        <v>749</v>
      </c>
      <c r="D101" t="s">
        <v>170</v>
      </c>
      <c r="E101" t="s">
        <v>40</v>
      </c>
      <c r="F101" t="s">
        <v>59</v>
      </c>
      <c r="G101" t="s">
        <v>196</v>
      </c>
      <c r="H101" t="s">
        <v>137</v>
      </c>
      <c r="I101" t="s">
        <v>290</v>
      </c>
      <c r="J101" t="s">
        <v>46</v>
      </c>
      <c r="K101" t="s">
        <v>40</v>
      </c>
      <c r="L101" t="s">
        <v>197</v>
      </c>
      <c r="M101" t="s">
        <v>139</v>
      </c>
      <c r="N101" t="s">
        <v>198</v>
      </c>
      <c r="O101" s="1">
        <v>45359</v>
      </c>
      <c r="P101" t="s">
        <v>750</v>
      </c>
      <c r="Q101" s="1">
        <v>45383</v>
      </c>
      <c r="R101" t="s">
        <v>751</v>
      </c>
      <c r="S101" t="s">
        <v>277</v>
      </c>
      <c r="T101">
        <v>0</v>
      </c>
      <c r="U101">
        <v>0</v>
      </c>
      <c r="V101">
        <v>0</v>
      </c>
      <c r="W101" t="s">
        <v>752</v>
      </c>
      <c r="X101" t="s">
        <v>40</v>
      </c>
      <c r="Y101" t="s">
        <v>40</v>
      </c>
      <c r="Z101" t="s">
        <v>40</v>
      </c>
      <c r="AA101" s="2" t="e">
        <f t="shared" si="1"/>
        <v>#VALUE!</v>
      </c>
      <c r="AB101" t="s">
        <v>40</v>
      </c>
      <c r="AC101" t="s">
        <v>54</v>
      </c>
      <c r="AD101" t="s">
        <v>40</v>
      </c>
      <c r="AE101" t="s">
        <v>142</v>
      </c>
      <c r="AF101" t="s">
        <v>40</v>
      </c>
      <c r="AG101" t="s">
        <v>40</v>
      </c>
      <c r="AH101" t="s">
        <v>40</v>
      </c>
      <c r="AI101" t="s">
        <v>40</v>
      </c>
      <c r="AJ101" t="s">
        <v>40</v>
      </c>
      <c r="AK101" t="s">
        <v>40</v>
      </c>
      <c r="AL101" t="s">
        <v>40</v>
      </c>
    </row>
    <row r="102" spans="1:38">
      <c r="A102" t="s">
        <v>753</v>
      </c>
      <c r="B102" t="s">
        <v>754</v>
      </c>
      <c r="C102" t="s">
        <v>755</v>
      </c>
      <c r="D102" t="s">
        <v>170</v>
      </c>
      <c r="E102" t="s">
        <v>40</v>
      </c>
      <c r="F102" t="s">
        <v>42</v>
      </c>
      <c r="G102" t="s">
        <v>289</v>
      </c>
      <c r="H102" t="s">
        <v>137</v>
      </c>
      <c r="I102" t="s">
        <v>718</v>
      </c>
      <c r="J102" t="s">
        <v>46</v>
      </c>
      <c r="K102" t="s">
        <v>756</v>
      </c>
      <c r="L102" t="s">
        <v>757</v>
      </c>
      <c r="M102" t="s">
        <v>719</v>
      </c>
      <c r="N102" t="s">
        <v>198</v>
      </c>
      <c r="O102" s="1">
        <v>45608</v>
      </c>
      <c r="P102" t="s">
        <v>758</v>
      </c>
      <c r="Q102" s="1">
        <v>45656</v>
      </c>
      <c r="R102" t="s">
        <v>759</v>
      </c>
      <c r="S102" t="s">
        <v>52</v>
      </c>
      <c r="T102">
        <v>0</v>
      </c>
      <c r="U102">
        <v>0</v>
      </c>
      <c r="V102">
        <v>0</v>
      </c>
      <c r="W102" t="s">
        <v>760</v>
      </c>
      <c r="X102" t="s">
        <v>40</v>
      </c>
      <c r="Y102" t="s">
        <v>40</v>
      </c>
      <c r="Z102" t="s">
        <v>40</v>
      </c>
      <c r="AA102" s="2" t="e">
        <f t="shared" si="1"/>
        <v>#VALUE!</v>
      </c>
      <c r="AB102" t="s">
        <v>40</v>
      </c>
      <c r="AC102" t="s">
        <v>54</v>
      </c>
      <c r="AD102" t="s">
        <v>40</v>
      </c>
      <c r="AE102" t="s">
        <v>142</v>
      </c>
      <c r="AF102" t="s">
        <v>40</v>
      </c>
      <c r="AG102" t="s">
        <v>40</v>
      </c>
      <c r="AH102" t="s">
        <v>40</v>
      </c>
      <c r="AI102" t="s">
        <v>40</v>
      </c>
      <c r="AJ102" t="s">
        <v>40</v>
      </c>
      <c r="AK102" t="s">
        <v>40</v>
      </c>
      <c r="AL102" t="s">
        <v>40</v>
      </c>
    </row>
    <row r="103" spans="1:38">
      <c r="A103" t="s">
        <v>761</v>
      </c>
      <c r="B103" t="s">
        <v>40</v>
      </c>
      <c r="C103" t="s">
        <v>762</v>
      </c>
      <c r="D103" t="s">
        <v>40</v>
      </c>
      <c r="E103" t="s">
        <v>40</v>
      </c>
      <c r="F103" t="s">
        <v>42</v>
      </c>
      <c r="G103" t="s">
        <v>196</v>
      </c>
      <c r="H103" t="s">
        <v>137</v>
      </c>
      <c r="I103" t="s">
        <v>763</v>
      </c>
      <c r="J103" t="s">
        <v>46</v>
      </c>
      <c r="K103" t="s">
        <v>83</v>
      </c>
      <c r="L103" t="s">
        <v>291</v>
      </c>
      <c r="M103" t="s">
        <v>764</v>
      </c>
      <c r="N103" t="s">
        <v>765</v>
      </c>
      <c r="O103" s="1">
        <v>45660</v>
      </c>
      <c r="P103" t="s">
        <v>766</v>
      </c>
      <c r="Q103" s="1">
        <v>45678</v>
      </c>
      <c r="R103" t="s">
        <v>767</v>
      </c>
      <c r="S103" t="s">
        <v>277</v>
      </c>
      <c r="T103">
        <v>0</v>
      </c>
      <c r="U103">
        <v>0</v>
      </c>
      <c r="V103">
        <v>0</v>
      </c>
      <c r="W103" t="s">
        <v>768</v>
      </c>
      <c r="X103">
        <v>0</v>
      </c>
      <c r="Y103">
        <v>0</v>
      </c>
      <c r="Z103">
        <v>7453.54</v>
      </c>
      <c r="AA103" s="2">
        <f t="shared" si="1"/>
        <v>0</v>
      </c>
      <c r="AB103" t="s">
        <v>40</v>
      </c>
      <c r="AC103" t="s">
        <v>54</v>
      </c>
      <c r="AD103" t="s">
        <v>40</v>
      </c>
      <c r="AE103" t="s">
        <v>142</v>
      </c>
      <c r="AF103" t="s">
        <v>40</v>
      </c>
      <c r="AG103" t="s">
        <v>40</v>
      </c>
      <c r="AH103" t="s">
        <v>40</v>
      </c>
      <c r="AI103" t="s">
        <v>40</v>
      </c>
      <c r="AJ103" t="s">
        <v>40</v>
      </c>
      <c r="AK103" t="s">
        <v>40</v>
      </c>
      <c r="AL103" t="s">
        <v>40</v>
      </c>
    </row>
    <row r="104" spans="1:38">
      <c r="A104" t="s">
        <v>769</v>
      </c>
      <c r="B104" t="s">
        <v>770</v>
      </c>
      <c r="C104" t="s">
        <v>771</v>
      </c>
      <c r="D104" t="s">
        <v>40</v>
      </c>
      <c r="E104" t="s">
        <v>40</v>
      </c>
      <c r="F104" t="s">
        <v>42</v>
      </c>
      <c r="G104" t="s">
        <v>289</v>
      </c>
      <c r="H104" t="s">
        <v>137</v>
      </c>
      <c r="I104" t="s">
        <v>401</v>
      </c>
      <c r="J104" t="s">
        <v>119</v>
      </c>
      <c r="K104" t="s">
        <v>772</v>
      </c>
      <c r="L104" t="s">
        <v>40</v>
      </c>
      <c r="M104" t="s">
        <v>773</v>
      </c>
      <c r="N104" t="s">
        <v>416</v>
      </c>
      <c r="O104" s="1">
        <v>45811</v>
      </c>
      <c r="P104" t="s">
        <v>774</v>
      </c>
      <c r="Q104" s="1">
        <v>45848</v>
      </c>
      <c r="R104" t="s">
        <v>775</v>
      </c>
      <c r="S104" t="s">
        <v>52</v>
      </c>
      <c r="T104">
        <v>0</v>
      </c>
      <c r="U104">
        <v>0</v>
      </c>
      <c r="V104">
        <v>1750</v>
      </c>
      <c r="W104" t="s">
        <v>776</v>
      </c>
      <c r="X104">
        <v>0</v>
      </c>
      <c r="Y104">
        <v>0</v>
      </c>
      <c r="Z104">
        <v>54870.76</v>
      </c>
      <c r="AA104" s="2">
        <f t="shared" si="1"/>
        <v>0.0318931248628596</v>
      </c>
      <c r="AB104">
        <v>32998.94</v>
      </c>
      <c r="AC104" t="s">
        <v>54</v>
      </c>
      <c r="AD104" t="s">
        <v>777</v>
      </c>
      <c r="AE104" t="s">
        <v>142</v>
      </c>
      <c r="AF104" t="s">
        <v>40</v>
      </c>
      <c r="AG104" t="s">
        <v>40</v>
      </c>
      <c r="AH104" t="s">
        <v>40</v>
      </c>
      <c r="AI104" t="s">
        <v>40</v>
      </c>
      <c r="AJ104" t="s">
        <v>40</v>
      </c>
      <c r="AK104" t="s">
        <v>40</v>
      </c>
      <c r="AL104" t="s">
        <v>40</v>
      </c>
    </row>
    <row r="105" spans="1:38">
      <c r="A105" t="s">
        <v>778</v>
      </c>
      <c r="B105" t="s">
        <v>779</v>
      </c>
      <c r="C105" t="s">
        <v>780</v>
      </c>
      <c r="D105" t="s">
        <v>40</v>
      </c>
      <c r="E105" t="s">
        <v>40</v>
      </c>
      <c r="F105" t="s">
        <v>59</v>
      </c>
      <c r="G105" t="s">
        <v>196</v>
      </c>
      <c r="H105" t="s">
        <v>137</v>
      </c>
      <c r="I105" t="s">
        <v>781</v>
      </c>
      <c r="J105" t="s">
        <v>46</v>
      </c>
      <c r="K105" t="s">
        <v>84</v>
      </c>
      <c r="L105" t="s">
        <v>40</v>
      </c>
      <c r="M105" t="s">
        <v>782</v>
      </c>
      <c r="N105" t="s">
        <v>783</v>
      </c>
      <c r="O105" s="1">
        <v>45880</v>
      </c>
      <c r="P105" t="s">
        <v>784</v>
      </c>
      <c r="Q105" t="s">
        <v>40</v>
      </c>
      <c r="R105" t="s">
        <v>40</v>
      </c>
      <c r="S105" t="s">
        <v>277</v>
      </c>
      <c r="T105">
        <v>0</v>
      </c>
      <c r="U105">
        <v>0</v>
      </c>
      <c r="V105">
        <v>0</v>
      </c>
      <c r="W105" t="s">
        <v>785</v>
      </c>
      <c r="X105">
        <v>0</v>
      </c>
      <c r="Y105">
        <v>0</v>
      </c>
      <c r="Z105">
        <v>12484.39</v>
      </c>
      <c r="AA105" s="2">
        <f t="shared" si="1"/>
        <v>0</v>
      </c>
      <c r="AB105" t="s">
        <v>40</v>
      </c>
      <c r="AC105" t="s">
        <v>100</v>
      </c>
      <c r="AD105" t="s">
        <v>40</v>
      </c>
      <c r="AE105" t="s">
        <v>142</v>
      </c>
      <c r="AF105" t="s">
        <v>40</v>
      </c>
      <c r="AG105" t="s">
        <v>40</v>
      </c>
      <c r="AH105" t="s">
        <v>40</v>
      </c>
      <c r="AI105" t="s">
        <v>40</v>
      </c>
      <c r="AJ105" t="s">
        <v>40</v>
      </c>
      <c r="AK105" t="s">
        <v>40</v>
      </c>
      <c r="AL105" t="s">
        <v>40</v>
      </c>
    </row>
    <row r="106" spans="1:38">
      <c r="A106" t="s">
        <v>786</v>
      </c>
      <c r="B106" t="s">
        <v>787</v>
      </c>
      <c r="C106" t="s">
        <v>788</v>
      </c>
      <c r="D106" t="s">
        <v>40</v>
      </c>
      <c r="E106" t="s">
        <v>40</v>
      </c>
      <c r="F106" t="s">
        <v>42</v>
      </c>
      <c r="G106" t="s">
        <v>196</v>
      </c>
      <c r="H106" t="s">
        <v>137</v>
      </c>
      <c r="I106" t="s">
        <v>212</v>
      </c>
      <c r="J106" t="s">
        <v>119</v>
      </c>
      <c r="K106" t="s">
        <v>197</v>
      </c>
      <c r="L106" t="s">
        <v>197</v>
      </c>
      <c r="M106" t="s">
        <v>139</v>
      </c>
      <c r="N106" t="s">
        <v>168</v>
      </c>
      <c r="O106" s="1">
        <v>45950</v>
      </c>
      <c r="P106" t="s">
        <v>789</v>
      </c>
      <c r="Q106" s="1">
        <v>45975</v>
      </c>
      <c r="R106" t="s">
        <v>790</v>
      </c>
      <c r="S106" t="s">
        <v>133</v>
      </c>
      <c r="T106">
        <v>0</v>
      </c>
      <c r="U106">
        <v>0</v>
      </c>
      <c r="V106">
        <v>0</v>
      </c>
      <c r="W106" t="s">
        <v>791</v>
      </c>
      <c r="X106">
        <v>0</v>
      </c>
      <c r="Y106">
        <v>0</v>
      </c>
      <c r="Z106">
        <v>15819.61</v>
      </c>
      <c r="AA106" s="2">
        <f t="shared" si="1"/>
        <v>0</v>
      </c>
      <c r="AB106">
        <v>13754.08</v>
      </c>
      <c r="AC106" t="s">
        <v>100</v>
      </c>
      <c r="AD106" t="s">
        <v>40</v>
      </c>
      <c r="AE106" t="s">
        <v>142</v>
      </c>
      <c r="AF106" t="s">
        <v>40</v>
      </c>
      <c r="AG106" t="s">
        <v>40</v>
      </c>
      <c r="AH106" t="s">
        <v>40</v>
      </c>
      <c r="AI106" t="s">
        <v>40</v>
      </c>
      <c r="AJ106" t="s">
        <v>40</v>
      </c>
      <c r="AK106" t="s">
        <v>40</v>
      </c>
      <c r="AL106" t="s">
        <v>40</v>
      </c>
    </row>
    <row r="107" spans="1:38">
      <c r="A107" t="s">
        <v>792</v>
      </c>
      <c r="B107" t="s">
        <v>793</v>
      </c>
      <c r="C107" t="s">
        <v>794</v>
      </c>
      <c r="D107" t="s">
        <v>40</v>
      </c>
      <c r="E107" t="s">
        <v>40</v>
      </c>
      <c r="F107" t="s">
        <v>42</v>
      </c>
      <c r="G107" t="s">
        <v>196</v>
      </c>
      <c r="H107" t="s">
        <v>137</v>
      </c>
      <c r="I107" t="s">
        <v>795</v>
      </c>
      <c r="J107" t="s">
        <v>46</v>
      </c>
      <c r="K107" t="s">
        <v>40</v>
      </c>
      <c r="L107" t="s">
        <v>84</v>
      </c>
      <c r="M107" t="s">
        <v>139</v>
      </c>
      <c r="N107" t="s">
        <v>198</v>
      </c>
      <c r="O107" s="1">
        <v>46014</v>
      </c>
      <c r="P107" t="s">
        <v>796</v>
      </c>
      <c r="Q107" t="s">
        <v>40</v>
      </c>
      <c r="R107" t="s">
        <v>40</v>
      </c>
      <c r="S107" t="s">
        <v>52</v>
      </c>
      <c r="T107">
        <v>0</v>
      </c>
      <c r="U107">
        <v>93</v>
      </c>
      <c r="V107">
        <v>93</v>
      </c>
      <c r="W107" t="s">
        <v>797</v>
      </c>
      <c r="X107">
        <v>0</v>
      </c>
      <c r="Y107">
        <v>1</v>
      </c>
      <c r="Z107">
        <v>8267.83</v>
      </c>
      <c r="AA107" s="2">
        <f t="shared" si="1"/>
        <v>0.0112484170574383</v>
      </c>
      <c r="AB107" t="s">
        <v>40</v>
      </c>
      <c r="AC107" t="s">
        <v>231</v>
      </c>
      <c r="AD107" t="s">
        <v>40</v>
      </c>
      <c r="AE107" t="s">
        <v>142</v>
      </c>
      <c r="AF107" t="s">
        <v>40</v>
      </c>
      <c r="AG107" t="s">
        <v>40</v>
      </c>
      <c r="AH107" t="s">
        <v>40</v>
      </c>
      <c r="AI107" t="s">
        <v>40</v>
      </c>
      <c r="AJ107" t="s">
        <v>40</v>
      </c>
      <c r="AK107" t="s">
        <v>40</v>
      </c>
      <c r="AL107" t="s">
        <v>40</v>
      </c>
    </row>
    <row r="108" spans="1:38">
      <c r="A108" t="s">
        <v>798</v>
      </c>
      <c r="B108" t="s">
        <v>799</v>
      </c>
      <c r="C108" t="s">
        <v>800</v>
      </c>
      <c r="D108" t="s">
        <v>40</v>
      </c>
      <c r="E108" t="s">
        <v>800</v>
      </c>
      <c r="F108" t="s">
        <v>42</v>
      </c>
      <c r="G108" t="s">
        <v>196</v>
      </c>
      <c r="H108" t="s">
        <v>137</v>
      </c>
      <c r="I108" t="s">
        <v>138</v>
      </c>
      <c r="J108" t="s">
        <v>119</v>
      </c>
      <c r="K108" t="s">
        <v>40</v>
      </c>
      <c r="L108" t="s">
        <v>197</v>
      </c>
      <c r="M108" t="s">
        <v>139</v>
      </c>
      <c r="N108" t="s">
        <v>801</v>
      </c>
      <c r="O108" s="1">
        <v>46036</v>
      </c>
      <c r="P108" t="s">
        <v>802</v>
      </c>
      <c r="Q108" s="1">
        <v>46066</v>
      </c>
      <c r="R108" t="s">
        <v>803</v>
      </c>
      <c r="S108" t="s">
        <v>133</v>
      </c>
      <c r="T108">
        <v>0</v>
      </c>
      <c r="U108">
        <v>0</v>
      </c>
      <c r="V108">
        <v>0</v>
      </c>
      <c r="W108" t="s">
        <v>804</v>
      </c>
      <c r="X108">
        <v>0</v>
      </c>
      <c r="Y108">
        <v>0</v>
      </c>
      <c r="Z108">
        <v>22312.89</v>
      </c>
      <c r="AA108" s="2">
        <f t="shared" si="1"/>
        <v>0</v>
      </c>
      <c r="AB108">
        <v>15699.44</v>
      </c>
      <c r="AC108" t="s">
        <v>100</v>
      </c>
      <c r="AD108" t="s">
        <v>40</v>
      </c>
      <c r="AE108" t="s">
        <v>142</v>
      </c>
      <c r="AF108" t="s">
        <v>40</v>
      </c>
      <c r="AG108" t="s">
        <v>40</v>
      </c>
      <c r="AH108" t="s">
        <v>40</v>
      </c>
      <c r="AI108" t="s">
        <v>40</v>
      </c>
      <c r="AJ108" t="s">
        <v>40</v>
      </c>
      <c r="AK108" t="s">
        <v>40</v>
      </c>
      <c r="AL108" t="s">
        <v>40</v>
      </c>
    </row>
    <row r="109" spans="1:38">
      <c r="A109" t="s">
        <v>805</v>
      </c>
      <c r="B109" t="s">
        <v>806</v>
      </c>
      <c r="C109" t="s">
        <v>807</v>
      </c>
      <c r="D109" t="s">
        <v>40</v>
      </c>
      <c r="E109" t="s">
        <v>808</v>
      </c>
      <c r="F109" t="s">
        <v>42</v>
      </c>
      <c r="G109" t="s">
        <v>196</v>
      </c>
      <c r="H109" t="s">
        <v>137</v>
      </c>
      <c r="I109" t="s">
        <v>138</v>
      </c>
      <c r="J109" t="s">
        <v>119</v>
      </c>
      <c r="K109" t="s">
        <v>40</v>
      </c>
      <c r="L109" t="s">
        <v>84</v>
      </c>
      <c r="M109" t="s">
        <v>139</v>
      </c>
      <c r="N109" t="s">
        <v>123</v>
      </c>
      <c r="O109" s="1">
        <v>46044</v>
      </c>
      <c r="P109" t="s">
        <v>809</v>
      </c>
      <c r="Q109" s="1">
        <v>46081</v>
      </c>
      <c r="R109" t="s">
        <v>810</v>
      </c>
      <c r="S109" t="s">
        <v>277</v>
      </c>
      <c r="T109">
        <v>0</v>
      </c>
      <c r="U109">
        <v>0</v>
      </c>
      <c r="V109">
        <v>0</v>
      </c>
      <c r="W109" t="s">
        <v>811</v>
      </c>
      <c r="X109" t="s">
        <v>40</v>
      </c>
      <c r="Y109" t="s">
        <v>40</v>
      </c>
      <c r="Z109">
        <v>13978.67</v>
      </c>
      <c r="AA109" s="2">
        <f t="shared" si="1"/>
        <v>0</v>
      </c>
      <c r="AB109">
        <v>11226.47</v>
      </c>
      <c r="AC109" t="s">
        <v>100</v>
      </c>
      <c r="AD109" t="s">
        <v>40</v>
      </c>
      <c r="AE109" t="s">
        <v>142</v>
      </c>
      <c r="AF109" t="s">
        <v>40</v>
      </c>
      <c r="AG109" t="s">
        <v>40</v>
      </c>
      <c r="AH109" t="s">
        <v>40</v>
      </c>
      <c r="AI109" t="s">
        <v>40</v>
      </c>
      <c r="AJ109" t="s">
        <v>40</v>
      </c>
      <c r="AK109" t="s">
        <v>40</v>
      </c>
      <c r="AL109" t="s">
        <v>40</v>
      </c>
    </row>
    <row r="110" spans="1:38">
      <c r="A110" t="s">
        <v>812</v>
      </c>
      <c r="B110" t="s">
        <v>813</v>
      </c>
      <c r="C110" t="s">
        <v>814</v>
      </c>
      <c r="D110" t="s">
        <v>40</v>
      </c>
      <c r="E110" t="s">
        <v>814</v>
      </c>
      <c r="F110" t="s">
        <v>42</v>
      </c>
      <c r="G110" t="s">
        <v>196</v>
      </c>
      <c r="H110" t="s">
        <v>137</v>
      </c>
      <c r="I110" t="s">
        <v>212</v>
      </c>
      <c r="J110" t="s">
        <v>119</v>
      </c>
      <c r="K110" t="s">
        <v>160</v>
      </c>
      <c r="L110" t="s">
        <v>160</v>
      </c>
      <c r="M110" t="s">
        <v>139</v>
      </c>
      <c r="N110" t="s">
        <v>815</v>
      </c>
      <c r="O110" s="1">
        <v>46059</v>
      </c>
      <c r="P110" t="s">
        <v>816</v>
      </c>
      <c r="Q110" t="s">
        <v>40</v>
      </c>
      <c r="R110" t="s">
        <v>40</v>
      </c>
      <c r="S110" t="s">
        <v>40</v>
      </c>
      <c r="T110">
        <v>0</v>
      </c>
      <c r="U110">
        <v>0</v>
      </c>
      <c r="V110">
        <v>0</v>
      </c>
      <c r="W110" t="s">
        <v>817</v>
      </c>
      <c r="X110">
        <v>0</v>
      </c>
      <c r="Y110">
        <v>0</v>
      </c>
      <c r="Z110">
        <v>12854.62</v>
      </c>
      <c r="AA110" s="2">
        <f t="shared" si="1"/>
        <v>0</v>
      </c>
      <c r="AB110" t="s">
        <v>40</v>
      </c>
      <c r="AC110" t="s">
        <v>100</v>
      </c>
      <c r="AD110" t="s">
        <v>40</v>
      </c>
      <c r="AE110" t="s">
        <v>142</v>
      </c>
      <c r="AF110" t="s">
        <v>40</v>
      </c>
      <c r="AG110" t="s">
        <v>40</v>
      </c>
      <c r="AH110" t="s">
        <v>40</v>
      </c>
      <c r="AI110" t="s">
        <v>40</v>
      </c>
      <c r="AJ110" t="s">
        <v>40</v>
      </c>
      <c r="AK110" t="s">
        <v>40</v>
      </c>
      <c r="AL110" t="s">
        <v>40</v>
      </c>
    </row>
    <row r="111" spans="1:38">
      <c r="A111" t="s">
        <v>818</v>
      </c>
      <c r="B111" t="s">
        <v>156</v>
      </c>
      <c r="C111" t="s">
        <v>819</v>
      </c>
      <c r="D111" t="s">
        <v>170</v>
      </c>
      <c r="E111" t="s">
        <v>820</v>
      </c>
      <c r="F111" t="s">
        <v>42</v>
      </c>
      <c r="G111" t="s">
        <v>43</v>
      </c>
      <c r="H111" t="s">
        <v>146</v>
      </c>
      <c r="I111" t="s">
        <v>40</v>
      </c>
      <c r="J111" t="s">
        <v>119</v>
      </c>
      <c r="K111" t="s">
        <v>83</v>
      </c>
      <c r="L111" t="s">
        <v>148</v>
      </c>
      <c r="M111" t="s">
        <v>149</v>
      </c>
      <c r="N111" t="s">
        <v>123</v>
      </c>
      <c r="O111" s="1">
        <v>45926</v>
      </c>
      <c r="P111" t="s">
        <v>821</v>
      </c>
      <c r="Q111" t="s">
        <v>40</v>
      </c>
      <c r="R111" t="s">
        <v>40</v>
      </c>
      <c r="S111" t="s">
        <v>277</v>
      </c>
      <c r="T111">
        <v>0</v>
      </c>
      <c r="U111">
        <v>0</v>
      </c>
      <c r="V111">
        <v>0</v>
      </c>
      <c r="W111" t="s">
        <v>163</v>
      </c>
      <c r="X111">
        <v>0</v>
      </c>
      <c r="Y111">
        <v>0</v>
      </c>
      <c r="Z111">
        <v>29917.61</v>
      </c>
      <c r="AA111" s="2">
        <f t="shared" si="1"/>
        <v>0</v>
      </c>
      <c r="AB111" t="s">
        <v>40</v>
      </c>
      <c r="AC111" t="s">
        <v>100</v>
      </c>
      <c r="AD111" t="s">
        <v>40</v>
      </c>
      <c r="AE111" t="s">
        <v>153</v>
      </c>
      <c r="AF111" t="s">
        <v>40</v>
      </c>
      <c r="AG111" t="s">
        <v>40</v>
      </c>
      <c r="AH111" t="s">
        <v>40</v>
      </c>
      <c r="AI111" t="s">
        <v>40</v>
      </c>
      <c r="AJ111" t="s">
        <v>40</v>
      </c>
      <c r="AK111" t="s">
        <v>40</v>
      </c>
      <c r="AL111" t="s">
        <v>40</v>
      </c>
    </row>
    <row r="112" spans="1:38">
      <c r="A112" t="s">
        <v>822</v>
      </c>
      <c r="B112" t="s">
        <v>823</v>
      </c>
      <c r="C112" t="s">
        <v>824</v>
      </c>
      <c r="D112" t="s">
        <v>40</v>
      </c>
      <c r="E112" t="s">
        <v>824</v>
      </c>
      <c r="F112" t="s">
        <v>42</v>
      </c>
      <c r="G112" t="s">
        <v>43</v>
      </c>
      <c r="H112" t="s">
        <v>146</v>
      </c>
      <c r="I112" t="s">
        <v>159</v>
      </c>
      <c r="J112" t="s">
        <v>46</v>
      </c>
      <c r="K112" t="s">
        <v>40</v>
      </c>
      <c r="L112" t="s">
        <v>315</v>
      </c>
      <c r="M112" t="s">
        <v>149</v>
      </c>
      <c r="N112" t="s">
        <v>49</v>
      </c>
      <c r="O112" s="1">
        <v>46006</v>
      </c>
      <c r="P112" t="s">
        <v>825</v>
      </c>
      <c r="Q112" s="1">
        <v>46006</v>
      </c>
      <c r="R112" t="s">
        <v>825</v>
      </c>
      <c r="S112" t="s">
        <v>277</v>
      </c>
      <c r="T112">
        <v>0</v>
      </c>
      <c r="U112">
        <v>0</v>
      </c>
      <c r="V112">
        <v>0</v>
      </c>
      <c r="W112" t="s">
        <v>826</v>
      </c>
      <c r="X112">
        <v>0</v>
      </c>
      <c r="Y112">
        <v>0</v>
      </c>
      <c r="Z112">
        <v>16360.9</v>
      </c>
      <c r="AA112" s="2">
        <f t="shared" si="1"/>
        <v>0</v>
      </c>
      <c r="AB112" t="s">
        <v>40</v>
      </c>
      <c r="AC112" t="s">
        <v>688</v>
      </c>
      <c r="AD112" t="s">
        <v>40</v>
      </c>
      <c r="AE112" t="s">
        <v>153</v>
      </c>
      <c r="AF112" t="s">
        <v>827</v>
      </c>
      <c r="AG112" t="s">
        <v>40</v>
      </c>
      <c r="AH112" t="s">
        <v>40</v>
      </c>
      <c r="AI112" t="s">
        <v>40</v>
      </c>
      <c r="AJ112" t="s">
        <v>40</v>
      </c>
      <c r="AK112" t="s">
        <v>40</v>
      </c>
      <c r="AL112" t="s">
        <v>40</v>
      </c>
    </row>
    <row r="113" spans="1:38">
      <c r="A113" t="s">
        <v>828</v>
      </c>
      <c r="B113" t="s">
        <v>829</v>
      </c>
      <c r="C113" t="s">
        <v>830</v>
      </c>
      <c r="D113" t="s">
        <v>40</v>
      </c>
      <c r="E113" t="s">
        <v>40</v>
      </c>
      <c r="F113" t="s">
        <v>42</v>
      </c>
      <c r="G113" t="s">
        <v>43</v>
      </c>
      <c r="H113" t="s">
        <v>146</v>
      </c>
      <c r="I113" t="s">
        <v>236</v>
      </c>
      <c r="J113" t="s">
        <v>46</v>
      </c>
      <c r="K113" t="s">
        <v>83</v>
      </c>
      <c r="L113" t="s">
        <v>831</v>
      </c>
      <c r="M113" t="s">
        <v>149</v>
      </c>
      <c r="N113" t="s">
        <v>374</v>
      </c>
      <c r="O113" s="1">
        <v>46078</v>
      </c>
      <c r="P113" t="s">
        <v>832</v>
      </c>
      <c r="Q113" s="1">
        <v>46090</v>
      </c>
      <c r="R113" t="s">
        <v>833</v>
      </c>
      <c r="S113" t="s">
        <v>52</v>
      </c>
      <c r="T113">
        <v>0</v>
      </c>
      <c r="U113">
        <v>0</v>
      </c>
      <c r="V113">
        <v>0</v>
      </c>
      <c r="W113" t="s">
        <v>834</v>
      </c>
      <c r="X113">
        <v>0</v>
      </c>
      <c r="Y113">
        <v>0</v>
      </c>
      <c r="Z113">
        <v>14345.95</v>
      </c>
      <c r="AA113" s="2">
        <f t="shared" si="1"/>
        <v>0</v>
      </c>
      <c r="AB113">
        <v>9570.24</v>
      </c>
      <c r="AC113" t="s">
        <v>100</v>
      </c>
      <c r="AD113" t="s">
        <v>40</v>
      </c>
      <c r="AE113" t="s">
        <v>153</v>
      </c>
      <c r="AF113" t="s">
        <v>187</v>
      </c>
      <c r="AG113" t="s">
        <v>40</v>
      </c>
      <c r="AH113" t="s">
        <v>40</v>
      </c>
      <c r="AI113" t="s">
        <v>40</v>
      </c>
      <c r="AJ113" t="s">
        <v>40</v>
      </c>
      <c r="AK113" t="s">
        <v>40</v>
      </c>
      <c r="AL113" t="s">
        <v>40</v>
      </c>
    </row>
    <row r="114" spans="1:38">
      <c r="A114" t="s">
        <v>835</v>
      </c>
      <c r="B114" t="s">
        <v>836</v>
      </c>
      <c r="C114" t="s">
        <v>837</v>
      </c>
      <c r="D114" t="s">
        <v>40</v>
      </c>
      <c r="E114" t="s">
        <v>40</v>
      </c>
      <c r="F114" t="s">
        <v>42</v>
      </c>
      <c r="G114" t="s">
        <v>105</v>
      </c>
      <c r="H114" t="s">
        <v>443</v>
      </c>
      <c r="I114" t="s">
        <v>838</v>
      </c>
      <c r="J114" t="s">
        <v>183</v>
      </c>
      <c r="K114" t="s">
        <v>40</v>
      </c>
      <c r="L114" t="s">
        <v>108</v>
      </c>
      <c r="M114" t="s">
        <v>445</v>
      </c>
      <c r="N114" t="s">
        <v>258</v>
      </c>
      <c r="O114" s="1">
        <v>44571</v>
      </c>
      <c r="P114" t="s">
        <v>839</v>
      </c>
      <c r="Q114" s="1">
        <v>44582</v>
      </c>
      <c r="R114" t="s">
        <v>840</v>
      </c>
      <c r="S114" t="s">
        <v>52</v>
      </c>
      <c r="T114">
        <v>0</v>
      </c>
      <c r="U114">
        <v>0</v>
      </c>
      <c r="V114">
        <v>19100</v>
      </c>
      <c r="W114" t="s">
        <v>841</v>
      </c>
      <c r="X114">
        <v>0</v>
      </c>
      <c r="Y114">
        <v>0</v>
      </c>
      <c r="Z114" t="s">
        <v>40</v>
      </c>
      <c r="AA114" s="2" t="e">
        <f t="shared" si="1"/>
        <v>#VALUE!</v>
      </c>
      <c r="AB114" t="s">
        <v>40</v>
      </c>
      <c r="AC114" t="s">
        <v>490</v>
      </c>
      <c r="AD114" t="s">
        <v>40</v>
      </c>
      <c r="AE114" t="s">
        <v>449</v>
      </c>
      <c r="AF114" t="s">
        <v>40</v>
      </c>
      <c r="AG114" t="s">
        <v>40</v>
      </c>
      <c r="AH114" t="s">
        <v>40</v>
      </c>
      <c r="AI114" t="s">
        <v>40</v>
      </c>
      <c r="AJ114" t="s">
        <v>40</v>
      </c>
      <c r="AK114" t="s">
        <v>40</v>
      </c>
      <c r="AL114" t="s">
        <v>40</v>
      </c>
    </row>
    <row r="115" spans="1:38">
      <c r="A115" t="s">
        <v>842</v>
      </c>
      <c r="B115" t="s">
        <v>843</v>
      </c>
      <c r="C115" t="s">
        <v>844</v>
      </c>
      <c r="D115" t="s">
        <v>40</v>
      </c>
      <c r="E115" t="s">
        <v>40</v>
      </c>
      <c r="F115" t="s">
        <v>117</v>
      </c>
      <c r="G115" t="s">
        <v>105</v>
      </c>
      <c r="H115" t="s">
        <v>443</v>
      </c>
      <c r="I115" t="s">
        <v>845</v>
      </c>
      <c r="J115" t="s">
        <v>183</v>
      </c>
      <c r="K115" t="s">
        <v>40</v>
      </c>
      <c r="L115" t="s">
        <v>121</v>
      </c>
      <c r="M115" t="s">
        <v>445</v>
      </c>
      <c r="N115" t="s">
        <v>258</v>
      </c>
      <c r="O115" s="1">
        <v>44770</v>
      </c>
      <c r="P115" t="s">
        <v>846</v>
      </c>
      <c r="Q115" s="1">
        <v>44832</v>
      </c>
      <c r="R115" t="s">
        <v>847</v>
      </c>
      <c r="S115" t="s">
        <v>52</v>
      </c>
      <c r="T115">
        <v>0</v>
      </c>
      <c r="U115">
        <v>0</v>
      </c>
      <c r="V115">
        <v>2858.06</v>
      </c>
      <c r="W115" t="s">
        <v>848</v>
      </c>
      <c r="X115">
        <v>0</v>
      </c>
      <c r="Y115">
        <v>0</v>
      </c>
      <c r="Z115" t="s">
        <v>40</v>
      </c>
      <c r="AA115" s="2" t="e">
        <f t="shared" si="1"/>
        <v>#VALUE!</v>
      </c>
      <c r="AB115" t="s">
        <v>40</v>
      </c>
      <c r="AC115" t="s">
        <v>490</v>
      </c>
      <c r="AD115" t="s">
        <v>40</v>
      </c>
      <c r="AE115" t="s">
        <v>449</v>
      </c>
      <c r="AF115" t="s">
        <v>40</v>
      </c>
      <c r="AG115" t="s">
        <v>40</v>
      </c>
      <c r="AH115" t="s">
        <v>40</v>
      </c>
      <c r="AI115" t="s">
        <v>40</v>
      </c>
      <c r="AJ115" t="s">
        <v>40</v>
      </c>
      <c r="AK115" t="s">
        <v>40</v>
      </c>
      <c r="AL115" t="s">
        <v>40</v>
      </c>
    </row>
    <row r="116" spans="1:38">
      <c r="A116" t="s">
        <v>849</v>
      </c>
      <c r="B116" t="s">
        <v>850</v>
      </c>
      <c r="C116" t="s">
        <v>851</v>
      </c>
      <c r="D116" t="s">
        <v>40</v>
      </c>
      <c r="E116" t="s">
        <v>852</v>
      </c>
      <c r="F116" t="s">
        <v>42</v>
      </c>
      <c r="G116" t="s">
        <v>105</v>
      </c>
      <c r="H116" t="s">
        <v>443</v>
      </c>
      <c r="I116" t="s">
        <v>853</v>
      </c>
      <c r="J116" t="s">
        <v>183</v>
      </c>
      <c r="K116" t="s">
        <v>40</v>
      </c>
      <c r="L116" t="s">
        <v>121</v>
      </c>
      <c r="M116" t="s">
        <v>445</v>
      </c>
      <c r="N116" t="s">
        <v>258</v>
      </c>
      <c r="O116" s="1">
        <v>44802</v>
      </c>
      <c r="P116" t="s">
        <v>854</v>
      </c>
      <c r="Q116" s="1">
        <v>44845</v>
      </c>
      <c r="R116" t="s">
        <v>855</v>
      </c>
      <c r="S116" t="s">
        <v>52</v>
      </c>
      <c r="T116">
        <v>0</v>
      </c>
      <c r="U116">
        <v>0</v>
      </c>
      <c r="V116">
        <v>1950</v>
      </c>
      <c r="W116" t="s">
        <v>856</v>
      </c>
      <c r="X116">
        <v>0</v>
      </c>
      <c r="Y116">
        <v>0</v>
      </c>
      <c r="Z116" t="s">
        <v>40</v>
      </c>
      <c r="AA116" s="2" t="e">
        <f t="shared" si="1"/>
        <v>#VALUE!</v>
      </c>
      <c r="AB116" t="s">
        <v>40</v>
      </c>
      <c r="AC116" t="s">
        <v>490</v>
      </c>
      <c r="AD116" t="s">
        <v>40</v>
      </c>
      <c r="AE116" t="s">
        <v>449</v>
      </c>
      <c r="AF116" t="s">
        <v>40</v>
      </c>
      <c r="AG116" t="s">
        <v>40</v>
      </c>
      <c r="AH116" t="s">
        <v>40</v>
      </c>
      <c r="AI116" t="s">
        <v>40</v>
      </c>
      <c r="AJ116" t="s">
        <v>40</v>
      </c>
      <c r="AK116" t="s">
        <v>40</v>
      </c>
      <c r="AL116" t="s">
        <v>40</v>
      </c>
    </row>
    <row r="117" spans="1:38">
      <c r="A117" t="s">
        <v>857</v>
      </c>
      <c r="B117" t="s">
        <v>858</v>
      </c>
      <c r="C117" t="s">
        <v>859</v>
      </c>
      <c r="D117" t="s">
        <v>40</v>
      </c>
      <c r="E117" t="s">
        <v>40</v>
      </c>
      <c r="F117" t="s">
        <v>42</v>
      </c>
      <c r="G117" t="s">
        <v>105</v>
      </c>
      <c r="H117" t="s">
        <v>443</v>
      </c>
      <c r="I117" t="s">
        <v>860</v>
      </c>
      <c r="J117" t="s">
        <v>183</v>
      </c>
      <c r="K117" t="s">
        <v>40</v>
      </c>
      <c r="L117" t="s">
        <v>121</v>
      </c>
      <c r="M117" t="s">
        <v>486</v>
      </c>
      <c r="N117" t="s">
        <v>258</v>
      </c>
      <c r="O117" s="1">
        <v>44879</v>
      </c>
      <c r="P117" t="s">
        <v>861</v>
      </c>
      <c r="Q117" s="1">
        <v>44907</v>
      </c>
      <c r="R117" t="s">
        <v>862</v>
      </c>
      <c r="S117" t="s">
        <v>52</v>
      </c>
      <c r="T117">
        <v>0</v>
      </c>
      <c r="U117">
        <v>0</v>
      </c>
      <c r="V117">
        <v>3200</v>
      </c>
      <c r="W117" t="s">
        <v>863</v>
      </c>
      <c r="X117">
        <v>0</v>
      </c>
      <c r="Y117">
        <v>0</v>
      </c>
      <c r="Z117" t="s">
        <v>40</v>
      </c>
      <c r="AA117" s="2" t="e">
        <f t="shared" si="1"/>
        <v>#VALUE!</v>
      </c>
      <c r="AB117" t="s">
        <v>40</v>
      </c>
      <c r="AC117" t="s">
        <v>490</v>
      </c>
      <c r="AD117" t="s">
        <v>40</v>
      </c>
      <c r="AE117" t="s">
        <v>449</v>
      </c>
      <c r="AF117" t="s">
        <v>40</v>
      </c>
      <c r="AG117" t="s">
        <v>40</v>
      </c>
      <c r="AH117" t="s">
        <v>40</v>
      </c>
      <c r="AI117" t="s">
        <v>40</v>
      </c>
      <c r="AJ117" t="s">
        <v>40</v>
      </c>
      <c r="AK117" t="s">
        <v>40</v>
      </c>
      <c r="AL117" t="s">
        <v>40</v>
      </c>
    </row>
    <row r="118" spans="1:38">
      <c r="A118" t="s">
        <v>164</v>
      </c>
      <c r="B118" t="s">
        <v>864</v>
      </c>
      <c r="C118" t="s">
        <v>865</v>
      </c>
      <c r="D118" t="s">
        <v>40</v>
      </c>
      <c r="E118" t="s">
        <v>40</v>
      </c>
      <c r="F118" t="s">
        <v>117</v>
      </c>
      <c r="G118" t="s">
        <v>105</v>
      </c>
      <c r="H118" t="s">
        <v>443</v>
      </c>
      <c r="I118" t="s">
        <v>860</v>
      </c>
      <c r="J118" t="s">
        <v>183</v>
      </c>
      <c r="K118" t="s">
        <v>40</v>
      </c>
      <c r="L118" t="s">
        <v>121</v>
      </c>
      <c r="M118" t="s">
        <v>486</v>
      </c>
      <c r="N118" t="s">
        <v>258</v>
      </c>
      <c r="O118" s="1">
        <v>45030</v>
      </c>
      <c r="P118" t="s">
        <v>323</v>
      </c>
      <c r="Q118" s="1">
        <v>45243</v>
      </c>
      <c r="R118" t="s">
        <v>332</v>
      </c>
      <c r="S118" t="s">
        <v>277</v>
      </c>
      <c r="T118">
        <v>0</v>
      </c>
      <c r="U118">
        <v>0</v>
      </c>
      <c r="V118">
        <v>0</v>
      </c>
      <c r="W118" t="s">
        <v>866</v>
      </c>
      <c r="X118">
        <v>0</v>
      </c>
      <c r="Y118">
        <v>0</v>
      </c>
      <c r="Z118" t="s">
        <v>40</v>
      </c>
      <c r="AA118" s="2" t="e">
        <f t="shared" si="1"/>
        <v>#VALUE!</v>
      </c>
      <c r="AB118" t="s">
        <v>40</v>
      </c>
      <c r="AC118" t="s">
        <v>54</v>
      </c>
      <c r="AD118" t="s">
        <v>40</v>
      </c>
      <c r="AE118" t="s">
        <v>449</v>
      </c>
      <c r="AF118" t="s">
        <v>40</v>
      </c>
      <c r="AG118" t="s">
        <v>40</v>
      </c>
      <c r="AH118" t="s">
        <v>40</v>
      </c>
      <c r="AI118" t="s">
        <v>40</v>
      </c>
      <c r="AJ118" t="s">
        <v>40</v>
      </c>
      <c r="AK118" t="s">
        <v>40</v>
      </c>
      <c r="AL118" t="s">
        <v>40</v>
      </c>
    </row>
    <row r="119" spans="1:38">
      <c r="A119" t="s">
        <v>867</v>
      </c>
      <c r="B119" t="s">
        <v>868</v>
      </c>
      <c r="C119" t="s">
        <v>869</v>
      </c>
      <c r="D119" t="s">
        <v>40</v>
      </c>
      <c r="E119" t="s">
        <v>40</v>
      </c>
      <c r="F119" t="s">
        <v>42</v>
      </c>
      <c r="G119" t="s">
        <v>105</v>
      </c>
      <c r="H119" t="s">
        <v>443</v>
      </c>
      <c r="I119" t="s">
        <v>870</v>
      </c>
      <c r="J119" t="s">
        <v>183</v>
      </c>
      <c r="K119" t="s">
        <v>40</v>
      </c>
      <c r="L119" t="s">
        <v>121</v>
      </c>
      <c r="M119" t="s">
        <v>445</v>
      </c>
      <c r="N119" t="s">
        <v>258</v>
      </c>
      <c r="O119" s="1">
        <v>45254</v>
      </c>
      <c r="P119" t="s">
        <v>871</v>
      </c>
      <c r="Q119" s="1">
        <v>45275</v>
      </c>
      <c r="R119" t="s">
        <v>251</v>
      </c>
      <c r="S119" t="s">
        <v>277</v>
      </c>
      <c r="T119">
        <v>0</v>
      </c>
      <c r="U119">
        <v>588</v>
      </c>
      <c r="V119">
        <v>1176</v>
      </c>
      <c r="W119" t="s">
        <v>872</v>
      </c>
      <c r="X119">
        <v>0</v>
      </c>
      <c r="Y119">
        <v>0</v>
      </c>
      <c r="Z119">
        <v>730</v>
      </c>
      <c r="AA119" s="2">
        <f t="shared" si="1"/>
        <v>1.61095890410959</v>
      </c>
      <c r="AB119" t="s">
        <v>40</v>
      </c>
      <c r="AC119" t="s">
        <v>304</v>
      </c>
      <c r="AD119" t="s">
        <v>40</v>
      </c>
      <c r="AE119" t="s">
        <v>449</v>
      </c>
      <c r="AF119" t="s">
        <v>40</v>
      </c>
      <c r="AG119" t="s">
        <v>40</v>
      </c>
      <c r="AH119" t="s">
        <v>40</v>
      </c>
      <c r="AI119" t="s">
        <v>40</v>
      </c>
      <c r="AJ119" t="s">
        <v>40</v>
      </c>
      <c r="AK119" t="s">
        <v>40</v>
      </c>
      <c r="AL119" t="s">
        <v>40</v>
      </c>
    </row>
    <row r="120" spans="1:38">
      <c r="A120" t="s">
        <v>164</v>
      </c>
      <c r="B120" t="s">
        <v>873</v>
      </c>
      <c r="C120" t="s">
        <v>874</v>
      </c>
      <c r="D120" t="s">
        <v>40</v>
      </c>
      <c r="E120" t="s">
        <v>40</v>
      </c>
      <c r="F120" t="s">
        <v>42</v>
      </c>
      <c r="G120" t="s">
        <v>105</v>
      </c>
      <c r="H120" t="s">
        <v>443</v>
      </c>
      <c r="I120" t="s">
        <v>875</v>
      </c>
      <c r="J120" t="s">
        <v>183</v>
      </c>
      <c r="K120" t="s">
        <v>40</v>
      </c>
      <c r="L120" t="s">
        <v>121</v>
      </c>
      <c r="M120" t="s">
        <v>486</v>
      </c>
      <c r="N120" t="s">
        <v>578</v>
      </c>
      <c r="O120" s="1">
        <v>45576</v>
      </c>
      <c r="P120" t="s">
        <v>876</v>
      </c>
      <c r="Q120" s="1">
        <v>45590</v>
      </c>
      <c r="R120" t="s">
        <v>580</v>
      </c>
      <c r="S120" t="s">
        <v>277</v>
      </c>
      <c r="T120">
        <v>0</v>
      </c>
      <c r="U120">
        <v>0</v>
      </c>
      <c r="V120">
        <v>0</v>
      </c>
      <c r="W120" t="s">
        <v>877</v>
      </c>
      <c r="X120">
        <v>0</v>
      </c>
      <c r="Y120">
        <v>0</v>
      </c>
      <c r="Z120" t="s">
        <v>40</v>
      </c>
      <c r="AA120" s="2" t="e">
        <f t="shared" si="1"/>
        <v>#VALUE!</v>
      </c>
      <c r="AB120" t="s">
        <v>40</v>
      </c>
      <c r="AC120" t="s">
        <v>54</v>
      </c>
      <c r="AD120" t="s">
        <v>40</v>
      </c>
      <c r="AE120" t="s">
        <v>449</v>
      </c>
      <c r="AF120" t="s">
        <v>40</v>
      </c>
      <c r="AG120" t="s">
        <v>40</v>
      </c>
      <c r="AH120" t="s">
        <v>40</v>
      </c>
      <c r="AI120" t="s">
        <v>40</v>
      </c>
      <c r="AJ120" t="s">
        <v>40</v>
      </c>
      <c r="AK120" t="s">
        <v>40</v>
      </c>
      <c r="AL120" t="s">
        <v>40</v>
      </c>
    </row>
    <row r="121" spans="1:38">
      <c r="A121" t="s">
        <v>878</v>
      </c>
      <c r="B121" t="s">
        <v>879</v>
      </c>
      <c r="C121" t="s">
        <v>880</v>
      </c>
      <c r="D121" t="s">
        <v>40</v>
      </c>
      <c r="E121" t="s">
        <v>40</v>
      </c>
      <c r="F121" t="s">
        <v>42</v>
      </c>
      <c r="G121" t="s">
        <v>105</v>
      </c>
      <c r="H121" t="s">
        <v>443</v>
      </c>
      <c r="I121" t="s">
        <v>875</v>
      </c>
      <c r="J121" t="s">
        <v>46</v>
      </c>
      <c r="K121" t="s">
        <v>40</v>
      </c>
      <c r="L121" t="s">
        <v>108</v>
      </c>
      <c r="M121" t="s">
        <v>881</v>
      </c>
      <c r="N121" t="s">
        <v>40</v>
      </c>
      <c r="O121" s="1">
        <v>45583</v>
      </c>
      <c r="P121" t="s">
        <v>882</v>
      </c>
      <c r="Q121" s="1">
        <v>45597</v>
      </c>
      <c r="R121" t="s">
        <v>497</v>
      </c>
      <c r="S121" t="s">
        <v>52</v>
      </c>
      <c r="T121">
        <v>0</v>
      </c>
      <c r="U121">
        <v>1125</v>
      </c>
      <c r="V121">
        <v>1125</v>
      </c>
      <c r="W121" t="s">
        <v>883</v>
      </c>
      <c r="X121">
        <v>2</v>
      </c>
      <c r="Y121">
        <v>0</v>
      </c>
      <c r="Z121">
        <v>18306.63</v>
      </c>
      <c r="AA121" s="2">
        <f t="shared" si="1"/>
        <v>0.0614531456636202</v>
      </c>
      <c r="AB121" t="s">
        <v>40</v>
      </c>
      <c r="AC121" t="s">
        <v>304</v>
      </c>
      <c r="AD121" t="s">
        <v>40</v>
      </c>
      <c r="AE121" t="s">
        <v>449</v>
      </c>
      <c r="AF121" t="s">
        <v>40</v>
      </c>
      <c r="AG121" t="s">
        <v>40</v>
      </c>
      <c r="AH121" t="s">
        <v>40</v>
      </c>
      <c r="AI121" t="s">
        <v>40</v>
      </c>
      <c r="AJ121" t="s">
        <v>40</v>
      </c>
      <c r="AK121" t="s">
        <v>40</v>
      </c>
      <c r="AL121" t="s">
        <v>40</v>
      </c>
    </row>
    <row r="122" spans="1:38">
      <c r="A122" t="s">
        <v>884</v>
      </c>
      <c r="B122" t="s">
        <v>885</v>
      </c>
      <c r="C122" t="s">
        <v>886</v>
      </c>
      <c r="D122" t="s">
        <v>40</v>
      </c>
      <c r="E122" t="s">
        <v>40</v>
      </c>
      <c r="F122" t="s">
        <v>59</v>
      </c>
      <c r="G122" t="s">
        <v>105</v>
      </c>
      <c r="H122" t="s">
        <v>443</v>
      </c>
      <c r="I122" t="s">
        <v>521</v>
      </c>
      <c r="J122" t="s">
        <v>119</v>
      </c>
      <c r="K122" t="s">
        <v>40</v>
      </c>
      <c r="L122" t="s">
        <v>887</v>
      </c>
      <c r="M122" t="s">
        <v>888</v>
      </c>
      <c r="N122" t="s">
        <v>161</v>
      </c>
      <c r="O122" s="1">
        <v>45912</v>
      </c>
      <c r="P122" t="s">
        <v>124</v>
      </c>
      <c r="Q122" t="s">
        <v>40</v>
      </c>
      <c r="R122" t="s">
        <v>40</v>
      </c>
      <c r="S122" t="s">
        <v>133</v>
      </c>
      <c r="T122">
        <v>0</v>
      </c>
      <c r="U122">
        <v>0</v>
      </c>
      <c r="V122">
        <v>0</v>
      </c>
      <c r="W122" t="s">
        <v>889</v>
      </c>
      <c r="X122" t="s">
        <v>612</v>
      </c>
      <c r="Y122" t="s">
        <v>40</v>
      </c>
      <c r="Z122">
        <v>19624.51</v>
      </c>
      <c r="AA122" s="2">
        <f t="shared" si="1"/>
        <v>0</v>
      </c>
      <c r="AB122" t="s">
        <v>40</v>
      </c>
      <c r="AC122" t="s">
        <v>100</v>
      </c>
      <c r="AD122" t="s">
        <v>40</v>
      </c>
      <c r="AE122" t="s">
        <v>449</v>
      </c>
      <c r="AF122" t="s">
        <v>40</v>
      </c>
      <c r="AG122" t="s">
        <v>40</v>
      </c>
      <c r="AH122" t="s">
        <v>40</v>
      </c>
      <c r="AI122" t="s">
        <v>40</v>
      </c>
      <c r="AJ122" t="s">
        <v>40</v>
      </c>
      <c r="AK122" t="s">
        <v>40</v>
      </c>
      <c r="AL122" t="s">
        <v>40</v>
      </c>
    </row>
    <row r="123" spans="1:38">
      <c r="A123" t="s">
        <v>890</v>
      </c>
      <c r="B123" t="s">
        <v>891</v>
      </c>
      <c r="C123" t="s">
        <v>892</v>
      </c>
      <c r="D123" t="s">
        <v>40</v>
      </c>
      <c r="E123" t="s">
        <v>40</v>
      </c>
      <c r="F123" t="s">
        <v>42</v>
      </c>
      <c r="G123" t="s">
        <v>105</v>
      </c>
      <c r="H123" t="s">
        <v>443</v>
      </c>
      <c r="I123" t="s">
        <v>875</v>
      </c>
      <c r="J123" t="s">
        <v>119</v>
      </c>
      <c r="K123" t="s">
        <v>40</v>
      </c>
      <c r="L123" t="s">
        <v>893</v>
      </c>
      <c r="M123" t="s">
        <v>888</v>
      </c>
      <c r="N123" t="s">
        <v>123</v>
      </c>
      <c r="O123" s="1">
        <v>45947</v>
      </c>
      <c r="P123" t="s">
        <v>894</v>
      </c>
      <c r="Q123" t="s">
        <v>40</v>
      </c>
      <c r="R123" t="s">
        <v>40</v>
      </c>
      <c r="S123" t="s">
        <v>133</v>
      </c>
      <c r="T123">
        <v>0</v>
      </c>
      <c r="U123">
        <v>0</v>
      </c>
      <c r="V123">
        <v>0</v>
      </c>
      <c r="W123" t="s">
        <v>895</v>
      </c>
      <c r="X123" t="s">
        <v>612</v>
      </c>
      <c r="Y123" t="s">
        <v>40</v>
      </c>
      <c r="Z123">
        <v>9119.3</v>
      </c>
      <c r="AA123" s="2">
        <f t="shared" si="1"/>
        <v>0</v>
      </c>
      <c r="AB123" t="s">
        <v>40</v>
      </c>
      <c r="AC123" t="s">
        <v>100</v>
      </c>
      <c r="AD123" t="s">
        <v>40</v>
      </c>
      <c r="AE123" t="s">
        <v>449</v>
      </c>
      <c r="AF123" t="s">
        <v>40</v>
      </c>
      <c r="AG123" t="s">
        <v>40</v>
      </c>
      <c r="AH123" t="s">
        <v>40</v>
      </c>
      <c r="AI123" t="s">
        <v>40</v>
      </c>
      <c r="AJ123" t="s">
        <v>40</v>
      </c>
      <c r="AK123" t="s">
        <v>40</v>
      </c>
      <c r="AL123" t="s">
        <v>40</v>
      </c>
    </row>
    <row r="124" spans="1:38">
      <c r="A124" t="s">
        <v>896</v>
      </c>
      <c r="B124" t="s">
        <v>897</v>
      </c>
      <c r="C124" t="s">
        <v>898</v>
      </c>
      <c r="D124" t="s">
        <v>40</v>
      </c>
      <c r="E124" t="s">
        <v>40</v>
      </c>
      <c r="F124" t="s">
        <v>42</v>
      </c>
      <c r="G124" t="s">
        <v>105</v>
      </c>
      <c r="H124" t="s">
        <v>443</v>
      </c>
      <c r="I124" t="s">
        <v>40</v>
      </c>
      <c r="J124" t="s">
        <v>119</v>
      </c>
      <c r="K124" t="s">
        <v>40</v>
      </c>
      <c r="L124" t="s">
        <v>887</v>
      </c>
      <c r="M124" t="s">
        <v>888</v>
      </c>
      <c r="N124" t="s">
        <v>899</v>
      </c>
      <c r="O124" s="1">
        <v>45980</v>
      </c>
      <c r="P124" t="s">
        <v>900</v>
      </c>
      <c r="Q124" t="s">
        <v>40</v>
      </c>
      <c r="R124" t="s">
        <v>40</v>
      </c>
      <c r="S124" t="s">
        <v>133</v>
      </c>
      <c r="T124">
        <v>0</v>
      </c>
      <c r="U124">
        <v>0</v>
      </c>
      <c r="V124">
        <v>0</v>
      </c>
      <c r="W124" t="s">
        <v>901</v>
      </c>
      <c r="X124">
        <v>0</v>
      </c>
      <c r="Y124">
        <v>0</v>
      </c>
      <c r="Z124">
        <v>11930.66</v>
      </c>
      <c r="AA124" s="2">
        <f t="shared" si="1"/>
        <v>0</v>
      </c>
      <c r="AB124" t="s">
        <v>40</v>
      </c>
      <c r="AC124" t="s">
        <v>100</v>
      </c>
      <c r="AD124" t="s">
        <v>40</v>
      </c>
      <c r="AE124" t="s">
        <v>449</v>
      </c>
      <c r="AF124" t="s">
        <v>40</v>
      </c>
      <c r="AG124" t="s">
        <v>40</v>
      </c>
      <c r="AH124" t="s">
        <v>40</v>
      </c>
      <c r="AI124" t="s">
        <v>40</v>
      </c>
      <c r="AJ124" t="s">
        <v>40</v>
      </c>
      <c r="AK124" t="s">
        <v>40</v>
      </c>
      <c r="AL124" t="s">
        <v>40</v>
      </c>
    </row>
    <row r="125" spans="1:38">
      <c r="A125" t="s">
        <v>902</v>
      </c>
      <c r="B125" t="s">
        <v>903</v>
      </c>
      <c r="C125" t="s">
        <v>904</v>
      </c>
      <c r="D125" t="s">
        <v>40</v>
      </c>
      <c r="E125" t="s">
        <v>40</v>
      </c>
      <c r="F125" t="s">
        <v>42</v>
      </c>
      <c r="G125" t="s">
        <v>105</v>
      </c>
      <c r="H125" t="s">
        <v>443</v>
      </c>
      <c r="I125" t="s">
        <v>502</v>
      </c>
      <c r="J125" t="s">
        <v>46</v>
      </c>
      <c r="K125" t="s">
        <v>40</v>
      </c>
      <c r="L125" t="s">
        <v>121</v>
      </c>
      <c r="M125" t="s">
        <v>445</v>
      </c>
      <c r="N125" t="s">
        <v>40</v>
      </c>
      <c r="O125" t="s">
        <v>40</v>
      </c>
      <c r="P125" t="s">
        <v>40</v>
      </c>
      <c r="Q125" s="1">
        <v>44435</v>
      </c>
      <c r="R125" t="s">
        <v>905</v>
      </c>
      <c r="S125" t="s">
        <v>52</v>
      </c>
      <c r="T125">
        <v>0</v>
      </c>
      <c r="U125">
        <v>0</v>
      </c>
      <c r="V125">
        <v>24125</v>
      </c>
      <c r="W125" t="s">
        <v>906</v>
      </c>
      <c r="X125">
        <v>0</v>
      </c>
      <c r="Y125">
        <v>0</v>
      </c>
      <c r="Z125" t="s">
        <v>40</v>
      </c>
      <c r="AA125" s="2" t="e">
        <f t="shared" si="1"/>
        <v>#VALUE!</v>
      </c>
      <c r="AB125" t="s">
        <v>40</v>
      </c>
      <c r="AC125" t="s">
        <v>100</v>
      </c>
      <c r="AD125" t="s">
        <v>40</v>
      </c>
      <c r="AE125" t="s">
        <v>449</v>
      </c>
      <c r="AF125" t="s">
        <v>40</v>
      </c>
      <c r="AG125" t="s">
        <v>40</v>
      </c>
      <c r="AH125" t="s">
        <v>40</v>
      </c>
      <c r="AI125" t="s">
        <v>40</v>
      </c>
      <c r="AJ125" t="s">
        <v>40</v>
      </c>
      <c r="AK125" t="s">
        <v>40</v>
      </c>
      <c r="AL125" t="s">
        <v>40</v>
      </c>
    </row>
    <row r="126" spans="1:38">
      <c r="A126" t="s">
        <v>907</v>
      </c>
      <c r="B126" t="s">
        <v>908</v>
      </c>
      <c r="C126" t="s">
        <v>909</v>
      </c>
      <c r="D126" t="s">
        <v>40</v>
      </c>
      <c r="E126" t="s">
        <v>40</v>
      </c>
      <c r="F126" t="s">
        <v>42</v>
      </c>
      <c r="G126" t="s">
        <v>105</v>
      </c>
      <c r="H126" t="s">
        <v>443</v>
      </c>
      <c r="I126" t="s">
        <v>875</v>
      </c>
      <c r="J126" t="s">
        <v>183</v>
      </c>
      <c r="K126" t="s">
        <v>40</v>
      </c>
      <c r="L126" t="s">
        <v>887</v>
      </c>
      <c r="M126" t="s">
        <v>888</v>
      </c>
      <c r="N126" t="s">
        <v>431</v>
      </c>
      <c r="O126" s="1">
        <v>45995</v>
      </c>
      <c r="P126" t="s">
        <v>910</v>
      </c>
      <c r="Q126" t="s">
        <v>40</v>
      </c>
      <c r="R126" t="s">
        <v>40</v>
      </c>
      <c r="S126" t="s">
        <v>133</v>
      </c>
      <c r="T126">
        <v>0</v>
      </c>
      <c r="U126">
        <v>0</v>
      </c>
      <c r="V126">
        <v>0</v>
      </c>
      <c r="W126" t="s">
        <v>911</v>
      </c>
      <c r="X126">
        <v>0</v>
      </c>
      <c r="Y126">
        <v>0</v>
      </c>
      <c r="Z126">
        <v>4404.03</v>
      </c>
      <c r="AA126" s="2">
        <f t="shared" si="1"/>
        <v>0</v>
      </c>
      <c r="AB126" t="s">
        <v>40</v>
      </c>
      <c r="AC126" t="s">
        <v>100</v>
      </c>
      <c r="AD126" t="s">
        <v>40</v>
      </c>
      <c r="AE126" t="s">
        <v>449</v>
      </c>
      <c r="AF126" t="s">
        <v>40</v>
      </c>
      <c r="AG126" t="s">
        <v>40</v>
      </c>
      <c r="AH126" t="s">
        <v>40</v>
      </c>
      <c r="AI126" t="s">
        <v>40</v>
      </c>
      <c r="AJ126" t="s">
        <v>40</v>
      </c>
      <c r="AK126" t="s">
        <v>40</v>
      </c>
      <c r="AL126" t="s">
        <v>40</v>
      </c>
    </row>
    <row r="127" spans="1:38">
      <c r="A127" t="s">
        <v>912</v>
      </c>
      <c r="B127" t="s">
        <v>913</v>
      </c>
      <c r="C127" t="s">
        <v>914</v>
      </c>
      <c r="D127" t="s">
        <v>40</v>
      </c>
      <c r="E127" t="s">
        <v>40</v>
      </c>
      <c r="F127" t="s">
        <v>42</v>
      </c>
      <c r="G127" t="s">
        <v>105</v>
      </c>
      <c r="H127" t="s">
        <v>443</v>
      </c>
      <c r="I127" t="s">
        <v>875</v>
      </c>
      <c r="J127" t="s">
        <v>119</v>
      </c>
      <c r="K127" t="s">
        <v>40</v>
      </c>
      <c r="L127" t="s">
        <v>422</v>
      </c>
      <c r="M127" t="s">
        <v>915</v>
      </c>
      <c r="N127" t="s">
        <v>123</v>
      </c>
      <c r="O127" s="1">
        <v>46013</v>
      </c>
      <c r="P127" t="s">
        <v>916</v>
      </c>
      <c r="Q127" t="s">
        <v>40</v>
      </c>
      <c r="R127" t="s">
        <v>40</v>
      </c>
      <c r="S127" t="s">
        <v>133</v>
      </c>
      <c r="T127">
        <v>0</v>
      </c>
      <c r="U127">
        <v>0</v>
      </c>
      <c r="V127">
        <v>0</v>
      </c>
      <c r="W127" t="s">
        <v>917</v>
      </c>
      <c r="X127">
        <v>0</v>
      </c>
      <c r="Y127">
        <v>0</v>
      </c>
      <c r="Z127">
        <v>9491.28</v>
      </c>
      <c r="AA127" s="2">
        <f t="shared" si="1"/>
        <v>0</v>
      </c>
      <c r="AB127" t="s">
        <v>40</v>
      </c>
      <c r="AC127" t="s">
        <v>100</v>
      </c>
      <c r="AD127" t="s">
        <v>40</v>
      </c>
      <c r="AE127" t="s">
        <v>449</v>
      </c>
      <c r="AF127" t="s">
        <v>40</v>
      </c>
      <c r="AG127" t="s">
        <v>40</v>
      </c>
      <c r="AH127" t="s">
        <v>40</v>
      </c>
      <c r="AI127" t="s">
        <v>40</v>
      </c>
      <c r="AJ127" t="s">
        <v>40</v>
      </c>
      <c r="AK127" t="s">
        <v>40</v>
      </c>
      <c r="AL127" t="s">
        <v>40</v>
      </c>
    </row>
    <row r="128" spans="1:38">
      <c r="A128" t="s">
        <v>918</v>
      </c>
      <c r="B128" t="s">
        <v>919</v>
      </c>
      <c r="C128" t="s">
        <v>920</v>
      </c>
      <c r="D128" t="s">
        <v>40</v>
      </c>
      <c r="E128" t="s">
        <v>40</v>
      </c>
      <c r="F128" t="s">
        <v>42</v>
      </c>
      <c r="G128" t="s">
        <v>105</v>
      </c>
      <c r="H128" t="s">
        <v>443</v>
      </c>
      <c r="I128" t="s">
        <v>853</v>
      </c>
      <c r="J128" t="s">
        <v>183</v>
      </c>
      <c r="K128" t="s">
        <v>40</v>
      </c>
      <c r="L128" t="s">
        <v>921</v>
      </c>
      <c r="M128" t="s">
        <v>922</v>
      </c>
      <c r="N128" t="s">
        <v>431</v>
      </c>
      <c r="O128" s="1">
        <v>46021</v>
      </c>
      <c r="P128" t="s">
        <v>617</v>
      </c>
      <c r="Q128" t="s">
        <v>40</v>
      </c>
      <c r="R128" t="s">
        <v>40</v>
      </c>
      <c r="S128" t="s">
        <v>133</v>
      </c>
      <c r="T128">
        <v>0</v>
      </c>
      <c r="U128">
        <v>0</v>
      </c>
      <c r="V128">
        <v>0</v>
      </c>
      <c r="W128" t="s">
        <v>923</v>
      </c>
      <c r="X128">
        <v>0</v>
      </c>
      <c r="Y128">
        <v>0</v>
      </c>
      <c r="Z128">
        <v>5733.48</v>
      </c>
      <c r="AA128" s="2">
        <f t="shared" si="1"/>
        <v>0</v>
      </c>
      <c r="AB128" t="s">
        <v>40</v>
      </c>
      <c r="AC128" t="s">
        <v>100</v>
      </c>
      <c r="AD128" t="s">
        <v>40</v>
      </c>
      <c r="AE128" t="s">
        <v>449</v>
      </c>
      <c r="AF128" t="s">
        <v>40</v>
      </c>
      <c r="AG128" t="s">
        <v>40</v>
      </c>
      <c r="AH128" t="s">
        <v>40</v>
      </c>
      <c r="AI128" t="s">
        <v>40</v>
      </c>
      <c r="AJ128" t="s">
        <v>40</v>
      </c>
      <c r="AK128" t="s">
        <v>40</v>
      </c>
      <c r="AL128" t="s">
        <v>40</v>
      </c>
    </row>
    <row r="129" spans="1:38">
      <c r="A129" t="s">
        <v>924</v>
      </c>
      <c r="B129" t="s">
        <v>925</v>
      </c>
      <c r="C129" t="s">
        <v>926</v>
      </c>
      <c r="D129" t="s">
        <v>40</v>
      </c>
      <c r="E129" t="s">
        <v>40</v>
      </c>
      <c r="F129" t="s">
        <v>42</v>
      </c>
      <c r="G129" t="s">
        <v>105</v>
      </c>
      <c r="H129" t="s">
        <v>443</v>
      </c>
      <c r="I129" t="s">
        <v>875</v>
      </c>
      <c r="J129" t="s">
        <v>119</v>
      </c>
      <c r="K129" t="s">
        <v>40</v>
      </c>
      <c r="L129" t="s">
        <v>422</v>
      </c>
      <c r="M129" t="s">
        <v>915</v>
      </c>
      <c r="N129" t="s">
        <v>40</v>
      </c>
      <c r="O129" s="1">
        <v>46026</v>
      </c>
      <c r="P129" t="s">
        <v>927</v>
      </c>
      <c r="Q129" t="s">
        <v>40</v>
      </c>
      <c r="R129" t="s">
        <v>40</v>
      </c>
      <c r="S129" t="s">
        <v>133</v>
      </c>
      <c r="T129">
        <v>0</v>
      </c>
      <c r="U129">
        <v>0</v>
      </c>
      <c r="V129">
        <v>0</v>
      </c>
      <c r="W129" t="s">
        <v>928</v>
      </c>
      <c r="X129">
        <v>0</v>
      </c>
      <c r="Y129">
        <v>0</v>
      </c>
      <c r="Z129">
        <v>15462.42</v>
      </c>
      <c r="AA129" s="2">
        <f t="shared" si="1"/>
        <v>0</v>
      </c>
      <c r="AB129" t="s">
        <v>40</v>
      </c>
      <c r="AC129" t="s">
        <v>100</v>
      </c>
      <c r="AD129" t="s">
        <v>40</v>
      </c>
      <c r="AE129" t="s">
        <v>449</v>
      </c>
      <c r="AF129" t="s">
        <v>40</v>
      </c>
      <c r="AG129" t="s">
        <v>40</v>
      </c>
      <c r="AH129" t="s">
        <v>40</v>
      </c>
      <c r="AI129" t="s">
        <v>40</v>
      </c>
      <c r="AJ129" t="s">
        <v>40</v>
      </c>
      <c r="AK129" t="s">
        <v>40</v>
      </c>
      <c r="AL129" t="s">
        <v>40</v>
      </c>
    </row>
  </sheetData>
  <autoFilter xmlns:etc="http://www.wps.cn/officeDocument/2017/etCustomData" ref="A1:AL129" etc:filterBottomFollowUsedRange="0">
    <sortState ref="A1:AL129">
      <sortCondition ref="T2" descending="1"/>
    </sortState>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合并数据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陈海勇</cp:lastModifiedBy>
  <dcterms:created xsi:type="dcterms:W3CDTF">2026-04-01T05:47:00Z</dcterms:created>
  <dcterms:modified xsi:type="dcterms:W3CDTF">2026-04-07T09:43:48Z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F5E7E1E334894E8997E0DFB67F6DB9C6_12</vt:lpwstr>
  </property>
  <property fmtid="{D5CDD505-2E9C-101B-9397-08002B2CF9AE}" pid="3" name="KSOProductBuildVer">
    <vt:lpwstr>2052-12.1.0.25225</vt:lpwstr>
  </property>
  <property fmtid="{D5CDD505-2E9C-101B-9397-08002B2CF9AE}" pid="4" name="CalculationRule">
    <vt:i4>0</vt:i4>
  </property>
</Properties>
</file>