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/>
  </bookViews>
  <sheets>
    <sheet name="Sheet1" sheetId="1" r:id="rId1"/>
    <sheet name="Sheet2" sheetId="2" r:id="rId2"/>
    <sheet name="物理机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<sst xmlns="http://schemas.openxmlformats.org/spreadsheetml/2006/main" count="254" uniqueCount="149">
  <si>
    <t>分类</t>
  </si>
  <si>
    <t>服务器名称</t>
  </si>
  <si>
    <t>配置属性</t>
  </si>
  <si>
    <t>数量</t>
  </si>
  <si>
    <t>操作系统</t>
  </si>
  <si>
    <t>资源类型</t>
  </si>
  <si>
    <t>CPU</t>
  </si>
  <si>
    <t>内存</t>
  </si>
  <si>
    <t>磁盘空间(G)</t>
  </si>
  <si>
    <t>IOPS</t>
  </si>
  <si>
    <t>软件</t>
  </si>
  <si>
    <t>端口</t>
  </si>
  <si>
    <t>用途</t>
  </si>
  <si>
    <t>备注</t>
  </si>
  <si>
    <t>华为云租赁价格（年）</t>
  </si>
  <si>
    <t>PAAS平台</t>
  </si>
  <si>
    <t>Ecloud平台、Docker仓库</t>
  </si>
  <si>
    <t>centos 7.8、7.9最小化安装</t>
  </si>
  <si>
    <t>虚拟机</t>
  </si>
  <si>
    <t>不低于2000</t>
  </si>
  <si>
    <t>平台服务端一键部署包</t>
  </si>
  <si>
    <t>8080、5044、8081、443、3690</t>
  </si>
  <si>
    <t>提供应用的开发流水线、应用资源管理调度与监控能力，支持系统的部署、配置和运维监控</t>
  </si>
  <si>
    <t>交易平台</t>
  </si>
  <si>
    <t>开评标系统、不见面开标大厅</t>
  </si>
  <si>
    <t>非集群、使用docker</t>
  </si>
  <si>
    <t>Paas客户端一键部署包</t>
  </si>
  <si>
    <t>8080、18080</t>
  </si>
  <si>
    <t>开评标系统</t>
  </si>
  <si>
    <t>电子唱标、不见面开标大厅需要专属硬件服务器</t>
  </si>
  <si>
    <t>交易平台业务服务、数据交互（交易）、BS招标工具、保证金平台、JAVA框架支撑服务</t>
  </si>
  <si>
    <t>8080~8084、18080</t>
  </si>
  <si>
    <t>交易平台业务服务、数据交互（交易）、BS招标工具、保证金平台、JAVA框架支撑服务(交易)、JAVA框架支撑服务(评标专用)</t>
  </si>
  <si>
    <t>交易平台投标端、接口服务、统一主体库</t>
  </si>
  <si>
    <t>8080~8082、18080</t>
  </si>
  <si>
    <t>交易平台投标服务、接口tpservice、投标文件上传接口</t>
  </si>
  <si>
    <t>统一主体库、统一支撑平台</t>
  </si>
  <si>
    <t>竞价系统、竞价服务</t>
  </si>
  <si>
    <t>8080、8081、18080</t>
  </si>
  <si>
    <t>统一认证平台、统一认证平台、定时任务、任务调度服务</t>
  </si>
  <si>
    <t>不低于5000</t>
  </si>
  <si>
    <t>统一支撑平台soa、统一认证平台sso、任务调度服务epointjob、定时任务tpjob</t>
  </si>
  <si>
    <t>监督平台</t>
  </si>
  <si>
    <t>监督平台基础应用、DXP、指标工厂</t>
  </si>
  <si>
    <t>监督平台基础应用、DXP</t>
  </si>
  <si>
    <t>大数据</t>
  </si>
  <si>
    <t>新点大数据平台、数据集成开发平台、livyandspark</t>
  </si>
  <si>
    <t>数据中台管理</t>
  </si>
  <si>
    <t>StarRocks</t>
  </si>
  <si>
    <t>网站</t>
  </si>
  <si>
    <t>ES、网站接口服务、全文检索、网站后台服务、生成服务、网站前台、网站Nginx中间件</t>
  </si>
  <si>
    <t>使用docker</t>
  </si>
  <si>
    <t>8080~8083、18080</t>
  </si>
  <si>
    <t>ES组件、网站动态请求处理服务、全文检索接口、网站大师后台、调度生成、网站前台、网站Nginx中间件</t>
  </si>
  <si>
    <t>共用组件</t>
  </si>
  <si>
    <t>Windows框架支撑服务</t>
  </si>
  <si>
    <t>Windows 2016 server 中文标准版（X64，10用户）</t>
  </si>
  <si>
    <t>Windows服务安装包、office2016 专业版</t>
  </si>
  <si>
    <t>200、201、8081、18080</t>
  </si>
  <si>
    <t>Windows框架支撑服务(交易专用)、Windows框架支撑服务(评标专用)</t>
  </si>
  <si>
    <t>统一对外访问服务（Nginx）</t>
  </si>
  <si>
    <t>集群、使用docker</t>
  </si>
  <si>
    <t>80、18080</t>
  </si>
  <si>
    <t>作为反向代理服务器，将访问请求按一定策略（轮询或权重）转发给后端多台应用</t>
  </si>
  <si>
    <t>RabbitMQ、Redis</t>
  </si>
  <si>
    <t>5672、15672、18080</t>
  </si>
  <si>
    <t>缓存服务（Redis）</t>
  </si>
  <si>
    <t>MySQL MHA管理节点</t>
  </si>
  <si>
    <t>应用与数据库服务器之间通过安全设备隔离的，需安全设备保持长连接。</t>
  </si>
  <si>
    <t>MySQL MHA 数据节点</t>
  </si>
  <si>
    <t>不低于15000</t>
  </si>
  <si>
    <t>MySQL（版本5.7.23)</t>
  </si>
  <si>
    <t>测试资源</t>
  </si>
  <si>
    <t>测试服务器(跳板机)</t>
  </si>
  <si>
    <t>跳板机</t>
  </si>
  <si>
    <t>测试服务器</t>
  </si>
  <si>
    <t>80、8060~8090、6379、5672、15672、18080</t>
  </si>
  <si>
    <t>测试数据库</t>
  </si>
  <si>
    <t>3306、1521</t>
  </si>
  <si>
    <t>仿真环境</t>
  </si>
  <si>
    <t>仿真服务器</t>
  </si>
  <si>
    <t>非必要，选配</t>
  </si>
  <si>
    <t>附件存储</t>
  </si>
  <si>
    <t>文件服务器(业务系统)</t>
  </si>
  <si>
    <t>111、30001、30002、30003、30004、2049</t>
  </si>
  <si>
    <t>作为统一存储附件的服务，提供API供各业务系统使用，该服务的后端实际存储可以是本地磁盘也可以是接NAS或对象存储</t>
  </si>
  <si>
    <t>超高IO</t>
  </si>
  <si>
    <t>文件备份服务器</t>
  </si>
  <si>
    <t>873(rsync默认端口)</t>
  </si>
  <si>
    <t>注：</t>
  </si>
  <si>
    <t>1、本清单为虚拟机配置清单，如需物理机清单、专属硬件设备等内容请自行联系硬件咨询</t>
  </si>
  <si>
    <t>2、具体需要专属硬件服务器的包含且不限于以下内容：推流管理机（不见面开标）、语音一体机（专家抽取）、密函打印机（专家抽取）、开评标视音频管理机（远程异地评标）、电子交易录像文件存储管理机（不见面开标需要视频存储用到、远程异地评标需要视频存储用到）、电子交易行为管理机、电子交易一体化存储机（用于虚拟化配置的时候，磁盘阵列用）</t>
  </si>
  <si>
    <t>3、数据库建议采用物理机+PCIE SSD,数据库共享存储不建议与附件存储共用。</t>
  </si>
  <si>
    <t>4、服务器内网之间网络互通</t>
  </si>
  <si>
    <t>软件清单</t>
  </si>
  <si>
    <t>功能简介</t>
  </si>
  <si>
    <t>详细描述</t>
  </si>
  <si>
    <t>WAF</t>
  </si>
  <si>
    <t>web应用安全防护</t>
  </si>
  <si>
    <t>SSL证书</t>
  </si>
  <si>
    <t>用于https访问</t>
  </si>
  <si>
    <t>可购买腾讯云免费DV证书，也可购买泛域名证书。</t>
  </si>
  <si>
    <t>office 2016 专业版</t>
  </si>
  <si>
    <t>项目</t>
  </si>
  <si>
    <t>不含文件备份服务器总资源</t>
  </si>
  <si>
    <t>vCPU合计</t>
  </si>
  <si>
    <t>CPU物理核配比</t>
  </si>
  <si>
    <t>单颗物理CPU核心数</t>
  </si>
  <si>
    <t>实体CPU数量（颗）</t>
  </si>
  <si>
    <t>物理机数量（台）</t>
  </si>
  <si>
    <t>内存合计（G）</t>
  </si>
  <si>
    <t>单根内存容量（G）</t>
  </si>
  <si>
    <t>每台服务器内存条数量（考虑冗余2根）</t>
  </si>
  <si>
    <t>硬盘合计（G）</t>
  </si>
  <si>
    <t>单个SSD硬盘容量（T)</t>
  </si>
  <si>
    <t>共享存储SSD硬盘数量（考虑RAID1）</t>
  </si>
  <si>
    <t>序号</t>
  </si>
  <si>
    <t>设备名称</t>
  </si>
  <si>
    <t>参数</t>
  </si>
  <si>
    <t>单位</t>
  </si>
  <si>
    <t>单价（元）</t>
  </si>
  <si>
    <t>总价（元）</t>
  </si>
  <si>
    <t>一、服务器设备</t>
  </si>
  <si>
    <t>服务器主机</t>
  </si>
  <si>
    <t>CPU≥2*英特尔至强金牌5218(2.3GHz/16-Core/22MB/125W)处理器（含散热器）
内存≥8*32GB
硬盘≥2*通用硬盘-600GB
RAID卡：不低于2GB 缓存,支持RAID0/1/5/6/10/50/60
网卡：不少于4个千兆网口
HBA卡：16Gb-双端口
电源：2*白金交流电源模块 
风扇：冗余风扇
DVD：DVD-RW</t>
  </si>
  <si>
    <t>台</t>
  </si>
  <si>
    <t>虚拟化软件</t>
  </si>
  <si>
    <t>2CPU授权+首次安装部署服务</t>
  </si>
  <si>
    <t>套</t>
  </si>
  <si>
    <t>Windows 2019 server 中文标准版（X64，10用户）</t>
  </si>
  <si>
    <t>office软件</t>
  </si>
  <si>
    <t>Microsoft Office 2016 套件简体中文标准版</t>
  </si>
  <si>
    <t>备份软件</t>
  </si>
  <si>
    <t>含10T授权专属备份软件功能模块，支持对Windows/Linux环境的灾备，支持对Oracle/SQL/My SQL/Sybase/DB2/Exchange/ Louts Notes等各主流数据库的备份，支持差异/增量/全备份模式，支持VMware虚拟化无代理备份；含无限Oracle/SQL/My SQL/ Sybase /DB2 /SAP /Exchange / Louts Notes等各主流数据库的备份授权及文件、操作系统备份，含无限VMware虚拟主机无代理备份授权许可，含局部/全局的去重压缩功能授权；含跨平台介质共享功能；含新建/原路径/自定义等恢复模式，含跨平台恢复，含智能副本管理功能，支持复合增量功能，支持OBNR功能，支持在线迁移功能，支持业务在线恢复功能。</t>
  </si>
  <si>
    <t>选配</t>
  </si>
  <si>
    <t>异机备份服务器</t>
  </si>
  <si>
    <t>CPU：1*英特尔至强银牌 4309Y 2.8G, 8C/16T, 10.4GT/s, 12M 缓存, Turbo, HT (105W) DDR4-2666；
内存：1*16GB RDIMM, 3200MT/s, 双列；
硬盘：2*600GB 硬盘 SAS ISE 12Gbps 10k 512n 2.5英寸 含 3.5英寸 HYB 托架 热插拔；
4*4TB 硬盘 SATA 6Gbps 7.2K 512e 3.5英寸热插拔；
raid控制卡；
网卡：集成双口千兆网卡；
电源：双,热插拔, 冗余 电源 (1+1), 600W；
导轨；</t>
  </si>
  <si>
    <t>SAN交换机</t>
  </si>
  <si>
    <t>24端口交换机，12端口激活，含12个16Gb/s短波多模模块，全光纤支持级联，固定单电源，端口端出风设计 ，机架套件</t>
  </si>
  <si>
    <t>光纤跳线</t>
  </si>
  <si>
    <t>LC-LC接口 5m 光纤线</t>
  </si>
  <si>
    <t>根</t>
  </si>
  <si>
    <t>一体化存储机</t>
  </si>
  <si>
    <t>CPU性能≥2*8核, 内存≥2*8GB RDIMM,2*300G SAS 2.5英寸热拔插硬盘
标配路径冗余、快照、卷复制、卷镜像软件
可做光纤存储设备使用，存储及备份数据库
存储各种电子文件，数据库文件，可提升30%的系统运行速度
对各种电子文件进行统一管理
内置备份软件，可定时加密备份，防止文件丢失。可任意回溯至任意版本的备份（包含已删除文件）；
提供双冗余双总线PowerPC ASIC 800 RISC架构RAID热插拔控制器
双控制器标配8GB内存,最大可扩至64GB CACHE且具备内存保护技术,超级电容不需要更换,循环使用寿命长,可覆盖系统的整个使用过程, 确保在紧急状况下提供电力,防止关键数据丢失
提供主机通道：同时标配4 x 32Gb/s FC ports 通道+ 8个1Gbps iSCSI通道
任意1条FC光纤通道故障不会影响整个存储系统的使用，自动提供路径冗余及故障切换功能
提供主-主/主-备等多种路径冗余及均衡负载方式，以保障任意链路的中断不影响整个存储读写的访问
路径冗余软件不受用户数限制，用户以后增加服务器无须再购买软件
提供RAID JBOD, 0, 1, 3, 5, 5+Spare,6, 10, 30, 50, 60, NRAID，支持""2.5” SAS SSDs – 200GB, 400GB, 800GB
2.5” SATA SSDs – 100GB, 200GB, 300GB, 400GB, 800GB
2.5” 10K RPM SAS drives – 300GB, 450GB, 600GB, 900GB, 1.2TB,1.6TB"";最大可支持到444块硬盘"
提供最大64个Logical Drive Patitions磁盘分区，提供最大1024 LUN MAP，且LUN及端口映射功能分配不受连接个数限制,以后扩充服务器无须再购买软件
提供内部无线缆连接Cable-less全模块化设计
提供2组热插拔冗余电源、冗余风扇模组
支持管理方式：RS232串口、10/100M Eth port, GUI全中文的远程管理软件,并可通过EMAIL\FAX\LAN broadcast\SMS\MSN Messenger\传呼或SNMP协议向系统管理员报警
最大支持3.2TB SSD缓存功能.该功能利用固态硬盘高速度和低延迟特性,为有高I/O需求的重要的数据和经常使用的数据提供更快的读取性能。该功能可以帮助用户更好地应对高I/O负载和不断增长的存储容量要求的同时，大大提高性能，最大可提升88%系统响应时间。</t>
  </si>
  <si>
    <t>配套硬盘</t>
  </si>
  <si>
    <t>企业级3.84T MLC 2.5寸  1X DWPD SAS 12Gb/s磁盘阵列专用高速读写混合型SSD硬盘</t>
  </si>
  <si>
    <t>块</t>
  </si>
  <si>
    <t>合计</t>
  </si>
  <si>
    <t>注：以上设备数量按实际需求为准。清单未含机柜、布线、网络（安全）系统，UPS等，需确认满足机房基本运行的互联网接入等要求。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</si>
</sst>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);[Red]\(0.00\)"/>
  </numFmts>
  <fonts count="36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b/>
      <sz val="10"/>
      <color rgb="FF00000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name val="仿宋"/>
      <family val="3"/>
      <charset val="134"/>
    </font>
    <font>
      <sz val="12"/>
      <color rgb="FFFF0000"/>
      <name val="仿宋"/>
      <family val="3"/>
      <charset val="134"/>
    </font>
    <font>
      <b/>
      <sz val="12"/>
      <color theme="1"/>
      <name val="宋体"/>
      <charset val="134"/>
      <scheme val="minor"/>
    </font>
    <font>
      <b/>
      <sz val="12"/>
      <name val="仿宋"/>
      <family val="3"/>
      <charset val="134"/>
    </font>
    <font>
      <sz val="12"/>
      <color rgb="FFFF0000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b/>
      <sz val="11"/>
      <color rgb="FFFF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1" borderId="1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18" applyNumberFormat="0" applyAlignment="0" applyProtection="0">
      <alignment vertical="center"/>
    </xf>
    <xf numFmtId="0" fontId="26" fillId="13" borderId="19" applyNumberFormat="0" applyAlignment="0" applyProtection="0">
      <alignment vertical="center"/>
    </xf>
    <xf numFmtId="0" fontId="27" fillId="13" borderId="18" applyNumberFormat="0" applyAlignment="0" applyProtection="0">
      <alignment vertical="center"/>
    </xf>
    <xf numFmtId="0" fontId="28" fillId="14" borderId="20" applyNumberFormat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0" fillId="0" borderId="0"/>
    <xf numFmtId="0" fontId="35" fillId="0" borderId="0"/>
  </cellStyleXfs>
  <cellXfs count="8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3" fillId="0" borderId="1" xfId="49" applyFont="1" applyFill="1" applyBorder="1" applyAlignment="1">
      <alignment horizontal="center" vertical="center" wrapText="1"/>
    </xf>
    <xf numFmtId="176" fontId="4" fillId="0" borderId="1" xfId="49" applyNumberFormat="1" applyFont="1" applyFill="1" applyBorder="1" applyAlignment="1">
      <alignment horizontal="center" vertical="center" wrapText="1"/>
    </xf>
    <xf numFmtId="176" fontId="3" fillId="0" borderId="1" xfId="49" applyNumberFormat="1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left" vertical="center"/>
    </xf>
    <xf numFmtId="0" fontId="5" fillId="0" borderId="1" xfId="49" applyFont="1" applyFill="1" applyBorder="1" applyAlignment="1">
      <alignment horizontal="center" vertical="center" wrapText="1"/>
    </xf>
    <xf numFmtId="0" fontId="5" fillId="2" borderId="1" xfId="49" applyFont="1" applyFill="1" applyBorder="1" applyAlignment="1">
      <alignment horizontal="left" vertical="center" wrapText="1"/>
    </xf>
    <xf numFmtId="176" fontId="5" fillId="0" borderId="1" xfId="49" applyNumberFormat="1" applyFont="1" applyFill="1" applyBorder="1" applyAlignment="1">
      <alignment horizontal="center" vertical="center" wrapText="1"/>
    </xf>
    <xf numFmtId="176" fontId="5" fillId="2" borderId="1" xfId="49" applyNumberFormat="1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5" fillId="0" borderId="2" xfId="49" applyFont="1" applyFill="1" applyBorder="1" applyAlignment="1">
      <alignment horizontal="center" vertical="center" wrapText="1"/>
    </xf>
    <xf numFmtId="0" fontId="6" fillId="0" borderId="1" xfId="49" applyFont="1" applyFill="1" applyBorder="1" applyAlignment="1">
      <alignment horizontal="left" vertical="center" wrapText="1"/>
    </xf>
    <xf numFmtId="0" fontId="5" fillId="0" borderId="3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77" fontId="3" fillId="0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NumberFormat="1" applyFont="1" applyFill="1" applyBorder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11" fillId="4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1" fillId="5" borderId="1" xfId="0" applyNumberFormat="1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left" vertical="center" wrapText="1"/>
    </xf>
    <xf numFmtId="0" fontId="13" fillId="6" borderId="6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13" fillId="0" borderId="10" xfId="0" applyFont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left" vertical="center" wrapText="1"/>
    </xf>
    <xf numFmtId="0" fontId="15" fillId="7" borderId="11" xfId="0" applyFont="1" applyFill="1" applyBorder="1" applyAlignment="1">
      <alignment horizontal="left" vertical="center" wrapText="1"/>
    </xf>
    <xf numFmtId="0" fontId="14" fillId="0" borderId="9" xfId="0" applyFont="1" applyBorder="1" applyAlignment="1">
      <alignment horizontal="left" wrapText="1"/>
    </xf>
    <xf numFmtId="0" fontId="14" fillId="0" borderId="12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15" fillId="0" borderId="9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left"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justify" vertical="center" wrapText="1"/>
    </xf>
    <xf numFmtId="0" fontId="14" fillId="7" borderId="8" xfId="0" applyFont="1" applyFill="1" applyBorder="1" applyAlignment="1">
      <alignment horizontal="left" wrapText="1"/>
    </xf>
    <xf numFmtId="0" fontId="14" fillId="7" borderId="14" xfId="0" applyFont="1" applyFill="1" applyBorder="1" applyAlignment="1">
      <alignment horizontal="left" vertical="center" wrapText="1"/>
    </xf>
    <xf numFmtId="0" fontId="14" fillId="7" borderId="8" xfId="0" applyFont="1" applyFill="1" applyBorder="1" applyAlignment="1">
      <alignment horizontal="center" wrapText="1"/>
    </xf>
    <xf numFmtId="0" fontId="14" fillId="7" borderId="8" xfId="0" applyFont="1" applyFill="1" applyBorder="1" applyAlignment="1">
      <alignment horizontal="justify" wrapText="1"/>
    </xf>
    <xf numFmtId="0" fontId="16" fillId="7" borderId="7" xfId="0" applyFont="1" applyFill="1" applyBorder="1" applyAlignment="1">
      <alignment horizontal="left" vertical="center" wrapText="1"/>
    </xf>
    <xf numFmtId="0" fontId="16" fillId="7" borderId="11" xfId="0" applyFont="1" applyFill="1" applyBorder="1" applyAlignment="1">
      <alignment horizontal="left" vertical="center" wrapText="1"/>
    </xf>
    <xf numFmtId="0" fontId="0" fillId="10" borderId="1" xfId="0" applyFill="1" applyBorder="1">
      <alignment vertical="center"/>
    </xf>
    <xf numFmtId="0" fontId="15" fillId="7" borderId="7" xfId="0" applyFont="1" applyFill="1" applyBorder="1" applyAlignment="1">
      <alignment horizontal="left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left" wrapText="1"/>
    </xf>
    <xf numFmtId="0" fontId="14" fillId="7" borderId="8" xfId="0" applyFont="1" applyFill="1" applyBorder="1" applyAlignment="1">
      <alignment horizontal="left"/>
    </xf>
    <xf numFmtId="0" fontId="14" fillId="0" borderId="7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0" fillId="0" borderId="8" xfId="0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3 2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D0CECE"/>
      <color rgb="00EF949F"/>
      <color rgb="0000B0F0"/>
      <color rgb="00C9E4B4"/>
      <color rgb="00C0C0C0"/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tabSelected="1" workbookViewId="0">
      <pane ySplit="1" topLeftCell="A2" activePane="bottomLeft" state="frozen"/>
      <selection/>
      <selection pane="bottomLeft" activeCell="F14" sqref="F14"/>
    </sheetView>
  </sheetViews>
  <sheetFormatPr defaultColWidth="9.02702702702703" defaultRowHeight="15" customHeight="1"/>
  <cols>
    <col min="1" max="1" width="15.6216216216216" customWidth="1"/>
    <col min="2" max="2" width="16.6576576576577" customWidth="1"/>
    <col min="3" max="3" width="15.2072072072072" customWidth="1"/>
    <col min="5" max="5" width="17.7207207207207" customWidth="1"/>
    <col min="6" max="6" width="14.3423423423423" customWidth="1"/>
    <col min="9" max="9" width="12.6756756756757" customWidth="1"/>
    <col min="11" max="11" width="22.036036036036" customWidth="1"/>
    <col min="12" max="12" width="18.9189189189189" customWidth="1"/>
    <col min="13" max="13" width="23.3693693693694" customWidth="1"/>
    <col min="14" max="14" width="26.8198198198198" customWidth="1"/>
    <col min="15" max="15" width="21.045045045045" customWidth="1"/>
  </cols>
  <sheetData>
    <row r="1" customHeight="1" spans="1:15">
      <c r="A1" s="38" t="s">
        <v>0</v>
      </c>
      <c r="B1" s="39" t="s">
        <v>1</v>
      </c>
      <c r="C1" s="40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41" t="s">
        <v>13</v>
      </c>
      <c r="O1" s="42" t="s">
        <v>14</v>
      </c>
    </row>
    <row r="2" customHeight="1" spans="1:15">
      <c r="A2" s="43" t="s">
        <v>15</v>
      </c>
      <c r="B2" s="44" t="s">
        <v>16</v>
      </c>
      <c r="C2" s="44"/>
      <c r="D2" s="45">
        <v>1</v>
      </c>
      <c r="E2" s="44" t="s">
        <v>17</v>
      </c>
      <c r="F2" s="45" t="s">
        <v>18</v>
      </c>
      <c r="G2" s="45">
        <v>8</v>
      </c>
      <c r="H2" s="45">
        <v>16</v>
      </c>
      <c r="I2" s="45">
        <v>1024</v>
      </c>
      <c r="J2" s="44" t="s">
        <v>19</v>
      </c>
      <c r="K2" s="44" t="s">
        <v>20</v>
      </c>
      <c r="L2" s="44" t="s">
        <v>21</v>
      </c>
      <c r="M2" s="44" t="s">
        <v>22</v>
      </c>
      <c r="N2" s="46"/>
      <c r="O2" s="47">
        <v>12686</v>
      </c>
    </row>
    <row r="3" customHeight="1" spans="1:15">
      <c r="A3" s="48" t="s">
        <v>23</v>
      </c>
      <c r="B3" s="44" t="s">
        <v>24</v>
      </c>
      <c r="C3" s="49" t="s">
        <v>25</v>
      </c>
      <c r="D3" s="45">
        <v>1</v>
      </c>
      <c r="E3" s="44" t="s">
        <v>17</v>
      </c>
      <c r="F3" s="45" t="s">
        <v>18</v>
      </c>
      <c r="G3" s="45">
        <v>8</v>
      </c>
      <c r="H3" s="45">
        <v>16</v>
      </c>
      <c r="I3" s="45">
        <v>200</v>
      </c>
      <c r="J3" s="44" t="s">
        <v>19</v>
      </c>
      <c r="K3" s="44" t="s">
        <v>26</v>
      </c>
      <c r="L3" s="44" t="s">
        <v>27</v>
      </c>
      <c r="M3" s="46" t="s">
        <v>28</v>
      </c>
      <c r="N3" s="50" t="s">
        <v>29</v>
      </c>
      <c r="O3" s="47">
        <v>6918</v>
      </c>
    </row>
    <row r="4" customHeight="1" spans="1:15">
      <c r="A4" s="48"/>
      <c r="B4" s="44" t="s">
        <v>30</v>
      </c>
      <c r="C4" s="49" t="s">
        <v>25</v>
      </c>
      <c r="D4" s="45">
        <v>1</v>
      </c>
      <c r="E4" s="44" t="s">
        <v>17</v>
      </c>
      <c r="F4" s="45" t="s">
        <v>18</v>
      </c>
      <c r="G4" s="45">
        <v>8</v>
      </c>
      <c r="H4" s="45">
        <v>16</v>
      </c>
      <c r="I4" s="45">
        <v>200</v>
      </c>
      <c r="J4" s="44" t="s">
        <v>19</v>
      </c>
      <c r="K4" s="44" t="s">
        <v>26</v>
      </c>
      <c r="L4" s="44" t="s">
        <v>31</v>
      </c>
      <c r="M4" s="44" t="s">
        <v>32</v>
      </c>
      <c r="N4" s="51"/>
      <c r="O4" s="47">
        <v>6918</v>
      </c>
    </row>
    <row r="5" customHeight="1" spans="1:15">
      <c r="A5" s="48"/>
      <c r="B5" s="44" t="s">
        <v>33</v>
      </c>
      <c r="C5" s="49" t="s">
        <v>25</v>
      </c>
      <c r="D5" s="45">
        <v>1</v>
      </c>
      <c r="E5" s="44" t="s">
        <v>17</v>
      </c>
      <c r="F5" s="45" t="s">
        <v>18</v>
      </c>
      <c r="G5" s="45">
        <v>8</v>
      </c>
      <c r="H5" s="45">
        <v>16</v>
      </c>
      <c r="I5" s="45">
        <v>200</v>
      </c>
      <c r="J5" s="44" t="s">
        <v>19</v>
      </c>
      <c r="K5" s="44" t="s">
        <v>26</v>
      </c>
      <c r="L5" s="44" t="s">
        <v>34</v>
      </c>
      <c r="M5" s="52" t="s">
        <v>35</v>
      </c>
      <c r="N5" s="46"/>
      <c r="O5" s="53">
        <v>6918</v>
      </c>
    </row>
    <row r="6" customHeight="1" spans="1:15">
      <c r="A6" s="48"/>
      <c r="B6" s="44"/>
      <c r="C6" s="49"/>
      <c r="D6" s="45"/>
      <c r="E6" s="44"/>
      <c r="F6" s="45"/>
      <c r="G6" s="45"/>
      <c r="H6" s="45"/>
      <c r="I6" s="45"/>
      <c r="J6" s="44"/>
      <c r="K6" s="44"/>
      <c r="L6" s="44"/>
      <c r="M6" s="44" t="s">
        <v>36</v>
      </c>
      <c r="N6" s="46"/>
      <c r="O6" s="53"/>
    </row>
    <row r="7" customHeight="1" spans="1:15">
      <c r="A7" s="48"/>
      <c r="B7" s="44" t="s">
        <v>37</v>
      </c>
      <c r="C7" s="49" t="s">
        <v>25</v>
      </c>
      <c r="D7" s="45">
        <v>1</v>
      </c>
      <c r="E7" s="44" t="s">
        <v>17</v>
      </c>
      <c r="F7" s="45" t="s">
        <v>18</v>
      </c>
      <c r="G7" s="45">
        <v>8</v>
      </c>
      <c r="H7" s="45">
        <v>16</v>
      </c>
      <c r="I7" s="45">
        <v>200</v>
      </c>
      <c r="J7" s="44" t="s">
        <v>19</v>
      </c>
      <c r="K7" s="44" t="s">
        <v>26</v>
      </c>
      <c r="L7" s="44" t="s">
        <v>38</v>
      </c>
      <c r="M7" s="44" t="s">
        <v>37</v>
      </c>
      <c r="N7" s="46"/>
      <c r="O7" s="47">
        <v>6918</v>
      </c>
    </row>
    <row r="8" customHeight="1" spans="1:15">
      <c r="A8" s="48"/>
      <c r="B8" s="44" t="s">
        <v>39</v>
      </c>
      <c r="C8" s="44" t="s">
        <v>25</v>
      </c>
      <c r="D8" s="45">
        <v>1</v>
      </c>
      <c r="E8" s="44" t="s">
        <v>17</v>
      </c>
      <c r="F8" s="45" t="s">
        <v>18</v>
      </c>
      <c r="G8" s="45">
        <v>8</v>
      </c>
      <c r="H8" s="45">
        <v>16</v>
      </c>
      <c r="I8" s="45">
        <v>200</v>
      </c>
      <c r="J8" s="44" t="s">
        <v>40</v>
      </c>
      <c r="K8" s="44" t="s">
        <v>26</v>
      </c>
      <c r="L8" s="44" t="s">
        <v>34</v>
      </c>
      <c r="M8" s="44" t="s">
        <v>41</v>
      </c>
      <c r="N8" s="54"/>
      <c r="O8" s="47">
        <v>6918</v>
      </c>
    </row>
    <row r="9" customHeight="1" spans="1:15">
      <c r="A9" s="48" t="s">
        <v>42</v>
      </c>
      <c r="B9" s="44" t="s">
        <v>43</v>
      </c>
      <c r="C9" s="44" t="s">
        <v>25</v>
      </c>
      <c r="D9" s="45">
        <v>1</v>
      </c>
      <c r="E9" s="44" t="s">
        <v>17</v>
      </c>
      <c r="F9" s="45" t="s">
        <v>18</v>
      </c>
      <c r="G9" s="45">
        <v>8</v>
      </c>
      <c r="H9" s="45">
        <v>16</v>
      </c>
      <c r="I9" s="45">
        <v>200</v>
      </c>
      <c r="J9" s="44" t="s">
        <v>40</v>
      </c>
      <c r="K9" s="44" t="s">
        <v>26</v>
      </c>
      <c r="L9" s="44" t="s">
        <v>34</v>
      </c>
      <c r="M9" s="44" t="s">
        <v>44</v>
      </c>
      <c r="N9" s="54"/>
      <c r="O9" s="47">
        <v>6918</v>
      </c>
    </row>
    <row r="10" customHeight="1" spans="1:15">
      <c r="A10" s="48" t="s">
        <v>45</v>
      </c>
      <c r="B10" s="44" t="s">
        <v>46</v>
      </c>
      <c r="C10" s="44" t="s">
        <v>25</v>
      </c>
      <c r="D10" s="45">
        <v>1</v>
      </c>
      <c r="E10" s="44" t="s">
        <v>17</v>
      </c>
      <c r="F10" s="45" t="s">
        <v>18</v>
      </c>
      <c r="G10" s="45">
        <v>8</v>
      </c>
      <c r="H10" s="45">
        <v>16</v>
      </c>
      <c r="I10" s="45">
        <v>200</v>
      </c>
      <c r="J10" s="44" t="s">
        <v>40</v>
      </c>
      <c r="K10" s="44" t="s">
        <v>26</v>
      </c>
      <c r="L10" s="44" t="s">
        <v>34</v>
      </c>
      <c r="M10" s="44" t="s">
        <v>46</v>
      </c>
      <c r="N10" s="46"/>
      <c r="O10" s="47">
        <v>6918</v>
      </c>
    </row>
    <row r="11" customHeight="1" spans="1:15">
      <c r="A11" s="48"/>
      <c r="B11" s="44" t="s">
        <v>47</v>
      </c>
      <c r="C11" s="44" t="s">
        <v>25</v>
      </c>
      <c r="D11" s="45">
        <v>1</v>
      </c>
      <c r="E11" s="44" t="s">
        <v>17</v>
      </c>
      <c r="F11" s="45" t="s">
        <v>18</v>
      </c>
      <c r="G11" s="45">
        <v>8</v>
      </c>
      <c r="H11" s="45">
        <v>16</v>
      </c>
      <c r="I11" s="45">
        <v>200</v>
      </c>
      <c r="J11" s="44" t="s">
        <v>40</v>
      </c>
      <c r="K11" s="44" t="s">
        <v>26</v>
      </c>
      <c r="L11" s="44" t="s">
        <v>34</v>
      </c>
      <c r="M11" s="44" t="s">
        <v>47</v>
      </c>
      <c r="N11" s="46"/>
      <c r="O11" s="47">
        <v>6918</v>
      </c>
    </row>
    <row r="12" customHeight="1" spans="1:15">
      <c r="A12" s="48"/>
      <c r="B12" s="44" t="s">
        <v>48</v>
      </c>
      <c r="C12" s="44" t="s">
        <v>25</v>
      </c>
      <c r="D12" s="45">
        <v>1</v>
      </c>
      <c r="E12" s="44" t="s">
        <v>17</v>
      </c>
      <c r="F12" s="45" t="s">
        <v>18</v>
      </c>
      <c r="G12" s="45">
        <v>8</v>
      </c>
      <c r="H12" s="45">
        <v>16</v>
      </c>
      <c r="I12" s="45">
        <v>200</v>
      </c>
      <c r="J12" s="44" t="s">
        <v>40</v>
      </c>
      <c r="K12" s="44" t="s">
        <v>26</v>
      </c>
      <c r="L12" s="44" t="s">
        <v>34</v>
      </c>
      <c r="M12" s="44" t="s">
        <v>48</v>
      </c>
      <c r="N12" s="46"/>
      <c r="O12" s="47">
        <v>6918</v>
      </c>
    </row>
    <row r="13" customHeight="1" spans="1:15">
      <c r="A13" s="55" t="s">
        <v>49</v>
      </c>
      <c r="B13" s="44" t="s">
        <v>50</v>
      </c>
      <c r="C13" s="44" t="s">
        <v>51</v>
      </c>
      <c r="D13" s="45">
        <v>1</v>
      </c>
      <c r="E13" s="44" t="s">
        <v>17</v>
      </c>
      <c r="F13" s="45" t="s">
        <v>18</v>
      </c>
      <c r="G13" s="45">
        <v>8</v>
      </c>
      <c r="H13" s="45">
        <v>16</v>
      </c>
      <c r="I13" s="45">
        <v>200</v>
      </c>
      <c r="J13" s="44" t="s">
        <v>19</v>
      </c>
      <c r="K13" s="44" t="s">
        <v>26</v>
      </c>
      <c r="L13" s="44" t="s">
        <v>52</v>
      </c>
      <c r="M13" s="44" t="s">
        <v>53</v>
      </c>
      <c r="N13" s="46"/>
      <c r="O13" s="47">
        <v>6918</v>
      </c>
    </row>
    <row r="14" customHeight="1" spans="1:15">
      <c r="A14" s="55" t="s">
        <v>54</v>
      </c>
      <c r="B14" s="44" t="s">
        <v>55</v>
      </c>
      <c r="C14" s="44"/>
      <c r="D14" s="45">
        <v>1</v>
      </c>
      <c r="E14" s="56" t="s">
        <v>56</v>
      </c>
      <c r="F14" s="45" t="s">
        <v>18</v>
      </c>
      <c r="G14" s="45">
        <v>4</v>
      </c>
      <c r="H14" s="45">
        <v>8</v>
      </c>
      <c r="I14" s="45">
        <v>300</v>
      </c>
      <c r="J14" s="44" t="s">
        <v>19</v>
      </c>
      <c r="K14" s="44" t="s">
        <v>57</v>
      </c>
      <c r="L14" s="44" t="s">
        <v>58</v>
      </c>
      <c r="M14" s="44" t="s">
        <v>59</v>
      </c>
      <c r="N14" s="46"/>
      <c r="O14" s="47">
        <v>5345</v>
      </c>
    </row>
    <row r="15" customHeight="1" spans="1:15">
      <c r="A15" s="55"/>
      <c r="B15" s="44" t="s">
        <v>60</v>
      </c>
      <c r="C15" s="44" t="s">
        <v>61</v>
      </c>
      <c r="D15" s="45">
        <v>1</v>
      </c>
      <c r="E15" s="44" t="s">
        <v>17</v>
      </c>
      <c r="F15" s="45" t="s">
        <v>18</v>
      </c>
      <c r="G15" s="45">
        <v>4</v>
      </c>
      <c r="H15" s="45">
        <v>8</v>
      </c>
      <c r="I15" s="45">
        <v>500</v>
      </c>
      <c r="J15" s="44" t="s">
        <v>19</v>
      </c>
      <c r="K15" s="44" t="s">
        <v>26</v>
      </c>
      <c r="L15" s="44" t="s">
        <v>62</v>
      </c>
      <c r="M15" s="44" t="s">
        <v>63</v>
      </c>
      <c r="N15" s="46"/>
      <c r="O15" s="47">
        <v>6745</v>
      </c>
    </row>
    <row r="16" customHeight="1" spans="1:15">
      <c r="A16" s="55"/>
      <c r="B16" s="44" t="s">
        <v>64</v>
      </c>
      <c r="C16" s="44" t="s">
        <v>61</v>
      </c>
      <c r="D16" s="45">
        <v>1</v>
      </c>
      <c r="E16" s="44" t="s">
        <v>17</v>
      </c>
      <c r="F16" s="45" t="s">
        <v>18</v>
      </c>
      <c r="G16" s="45">
        <v>4</v>
      </c>
      <c r="H16" s="45">
        <v>8</v>
      </c>
      <c r="I16" s="45">
        <v>200</v>
      </c>
      <c r="J16" s="44" t="s">
        <v>40</v>
      </c>
      <c r="K16" s="44" t="s">
        <v>26</v>
      </c>
      <c r="L16" s="44" t="s">
        <v>65</v>
      </c>
      <c r="M16" s="44" t="s">
        <v>66</v>
      </c>
      <c r="N16" s="46"/>
      <c r="O16" s="47">
        <v>4645</v>
      </c>
    </row>
    <row r="17" customHeight="1" spans="1:16">
      <c r="A17" s="48"/>
      <c r="B17" s="44" t="s">
        <v>67</v>
      </c>
      <c r="C17" s="45"/>
      <c r="D17" s="45">
        <v>1</v>
      </c>
      <c r="E17" s="44" t="s">
        <v>17</v>
      </c>
      <c r="F17" s="45" t="s">
        <v>18</v>
      </c>
      <c r="G17" s="45">
        <v>4</v>
      </c>
      <c r="H17" s="45">
        <v>8</v>
      </c>
      <c r="I17" s="57">
        <v>1024</v>
      </c>
      <c r="J17" s="44" t="s">
        <v>19</v>
      </c>
      <c r="K17" s="44"/>
      <c r="L17" s="44">
        <v>3306</v>
      </c>
      <c r="M17" s="44"/>
      <c r="N17" s="58" t="s">
        <v>68</v>
      </c>
      <c r="O17" s="47">
        <v>10413</v>
      </c>
    </row>
    <row r="18" customHeight="1" spans="1:16">
      <c r="A18" s="48"/>
      <c r="B18" s="44" t="s">
        <v>69</v>
      </c>
      <c r="C18" s="45"/>
      <c r="D18" s="45">
        <v>1</v>
      </c>
      <c r="E18" s="44" t="s">
        <v>17</v>
      </c>
      <c r="F18" s="45" t="s">
        <v>18</v>
      </c>
      <c r="G18" s="45">
        <v>16</v>
      </c>
      <c r="H18" s="45">
        <v>32</v>
      </c>
      <c r="I18" s="59">
        <v>2048</v>
      </c>
      <c r="J18" s="44" t="s">
        <v>70</v>
      </c>
      <c r="K18" s="44" t="s">
        <v>71</v>
      </c>
      <c r="L18" s="44">
        <v>3306</v>
      </c>
      <c r="M18" s="44"/>
      <c r="N18" s="58"/>
      <c r="O18" s="47">
        <v>27027.5</v>
      </c>
    </row>
    <row r="19" customHeight="1" spans="1:16">
      <c r="A19" s="60" t="s">
        <v>72</v>
      </c>
      <c r="B19" s="44" t="s">
        <v>73</v>
      </c>
      <c r="C19" s="44"/>
      <c r="D19" s="45">
        <v>1</v>
      </c>
      <c r="E19" s="44" t="s">
        <v>56</v>
      </c>
      <c r="F19" s="45" t="s">
        <v>18</v>
      </c>
      <c r="G19" s="45">
        <v>4</v>
      </c>
      <c r="H19" s="45">
        <v>8</v>
      </c>
      <c r="I19" s="61">
        <v>300</v>
      </c>
      <c r="J19" s="44" t="s">
        <v>19</v>
      </c>
      <c r="K19" s="44"/>
      <c r="L19" s="44">
        <v>63986</v>
      </c>
      <c r="M19" s="62" t="s">
        <v>74</v>
      </c>
      <c r="N19" s="46"/>
      <c r="O19" s="47">
        <v>5345</v>
      </c>
    </row>
    <row r="20" customHeight="1" spans="1:16">
      <c r="A20" s="60"/>
      <c r="B20" s="44" t="s">
        <v>75</v>
      </c>
      <c r="C20" s="44"/>
      <c r="D20" s="45">
        <v>2</v>
      </c>
      <c r="E20" s="44" t="s">
        <v>17</v>
      </c>
      <c r="F20" s="45" t="s">
        <v>18</v>
      </c>
      <c r="G20" s="45">
        <v>8</v>
      </c>
      <c r="H20" s="63">
        <v>16</v>
      </c>
      <c r="I20" s="64">
        <v>200</v>
      </c>
      <c r="J20" s="44" t="s">
        <v>19</v>
      </c>
      <c r="K20" s="44"/>
      <c r="L20" s="44" t="s">
        <v>76</v>
      </c>
      <c r="M20" s="44"/>
      <c r="N20" s="46"/>
      <c r="O20" s="47">
        <v>6918</v>
      </c>
    </row>
    <row r="21" customHeight="1" spans="1:16">
      <c r="A21" s="60"/>
      <c r="B21" s="44" t="s">
        <v>77</v>
      </c>
      <c r="C21" s="44"/>
      <c r="D21" s="45">
        <v>1</v>
      </c>
      <c r="E21" s="44" t="s">
        <v>17</v>
      </c>
      <c r="F21" s="45" t="s">
        <v>18</v>
      </c>
      <c r="G21" s="45">
        <v>8</v>
      </c>
      <c r="H21" s="63">
        <v>16</v>
      </c>
      <c r="I21" s="65">
        <v>500</v>
      </c>
      <c r="J21" s="44" t="s">
        <v>19</v>
      </c>
      <c r="K21" s="44"/>
      <c r="L21" s="44" t="s">
        <v>78</v>
      </c>
      <c r="M21" s="44"/>
      <c r="N21" s="46"/>
      <c r="O21" s="47">
        <v>9018</v>
      </c>
    </row>
    <row r="22" customHeight="1" spans="1:16">
      <c r="A22" s="48" t="s">
        <v>79</v>
      </c>
      <c r="B22" s="44" t="s">
        <v>80</v>
      </c>
      <c r="C22" s="66" t="s">
        <v>81</v>
      </c>
      <c r="D22" s="45">
        <v>3</v>
      </c>
      <c r="E22" s="44" t="s">
        <v>17</v>
      </c>
      <c r="F22" s="45" t="s">
        <v>18</v>
      </c>
      <c r="G22" s="45">
        <v>8</v>
      </c>
      <c r="H22" s="63">
        <v>16</v>
      </c>
      <c r="I22" s="65">
        <v>200</v>
      </c>
      <c r="J22" s="44" t="s">
        <v>19</v>
      </c>
      <c r="K22" s="44"/>
      <c r="L22" s="44" t="s">
        <v>76</v>
      </c>
      <c r="M22" s="44"/>
      <c r="N22" s="67"/>
      <c r="O22" s="47">
        <v>6918</v>
      </c>
    </row>
    <row r="23" customHeight="1" spans="1:16">
      <c r="A23" s="68" t="s">
        <v>82</v>
      </c>
      <c r="B23" s="49" t="s">
        <v>83</v>
      </c>
      <c r="C23" s="49"/>
      <c r="D23" s="57">
        <v>1</v>
      </c>
      <c r="E23" s="44" t="s">
        <v>17</v>
      </c>
      <c r="F23" s="57" t="s">
        <v>18</v>
      </c>
      <c r="G23" s="57">
        <v>8</v>
      </c>
      <c r="H23" s="57">
        <v>16</v>
      </c>
      <c r="I23" s="57">
        <v>2048</v>
      </c>
      <c r="J23" s="44" t="s">
        <v>40</v>
      </c>
      <c r="K23" s="69"/>
      <c r="L23" s="49" t="s">
        <v>84</v>
      </c>
      <c r="M23" s="70" t="s">
        <v>85</v>
      </c>
      <c r="N23" s="71"/>
      <c r="O23" s="47">
        <v>32682</v>
      </c>
      <c r="P23" t="s">
        <v>86</v>
      </c>
    </row>
    <row r="24" customHeight="1" spans="1:16">
      <c r="A24" s="68"/>
      <c r="B24" s="70" t="s">
        <v>87</v>
      </c>
      <c r="C24" s="70"/>
      <c r="D24" s="72">
        <v>1</v>
      </c>
      <c r="E24" s="44" t="s">
        <v>17</v>
      </c>
      <c r="F24" s="72" t="s">
        <v>18</v>
      </c>
      <c r="G24" s="57">
        <v>8</v>
      </c>
      <c r="H24" s="57">
        <v>16</v>
      </c>
      <c r="I24" s="57">
        <v>3072</v>
      </c>
      <c r="J24" s="44" t="s">
        <v>19</v>
      </c>
      <c r="K24" s="73"/>
      <c r="L24" s="49" t="s">
        <v>88</v>
      </c>
      <c r="M24" s="70" t="s">
        <v>87</v>
      </c>
      <c r="N24" s="71"/>
      <c r="O24" s="47">
        <v>25804</v>
      </c>
    </row>
    <row r="25" customHeight="1" spans="1:16">
      <c r="A25" s="74" t="s">
        <v>89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5"/>
      <c r="O25" s="76">
        <f>SUM(O7:O24)</f>
        <v>189286.5</v>
      </c>
    </row>
    <row r="26" customHeight="1" spans="1:16">
      <c r="A26" s="77" t="s">
        <v>90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</row>
    <row r="27" customHeight="1" spans="1:16">
      <c r="A27" s="77" t="s">
        <v>91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</row>
    <row r="28" customHeight="1" spans="1:16">
      <c r="A28" s="77" t="s">
        <v>92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</row>
    <row r="29" customHeight="1" spans="1:16">
      <c r="A29" s="77" t="s">
        <v>93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</row>
    <row r="30" customHeight="1" spans="1:16">
      <c r="A30" s="78" t="s">
        <v>94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</row>
    <row r="31" customHeight="1" spans="1:16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</row>
    <row r="32" customHeight="1" spans="1:16">
      <c r="A32" s="78" t="s">
        <v>10</v>
      </c>
      <c r="B32" s="79" t="s">
        <v>95</v>
      </c>
      <c r="C32" s="79" t="s">
        <v>13</v>
      </c>
      <c r="D32" s="79" t="s">
        <v>3</v>
      </c>
      <c r="E32" s="79" t="s">
        <v>96</v>
      </c>
      <c r="F32" s="79"/>
      <c r="G32" s="79"/>
      <c r="H32" s="79"/>
      <c r="I32" s="79"/>
      <c r="J32" s="79"/>
      <c r="K32" s="79"/>
      <c r="L32" s="79"/>
      <c r="M32" s="79"/>
      <c r="N32" s="79"/>
    </row>
    <row r="33" customHeight="1" spans="1:14">
      <c r="A33" s="80" t="s">
        <v>97</v>
      </c>
      <c r="B33" s="81" t="s">
        <v>98</v>
      </c>
      <c r="C33" s="81"/>
      <c r="D33" s="59">
        <v>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</row>
    <row r="34" customHeight="1" spans="1:14">
      <c r="A34" s="82" t="s">
        <v>56</v>
      </c>
      <c r="B34" s="45"/>
      <c r="C34" s="83"/>
      <c r="D34" s="84">
        <v>3</v>
      </c>
      <c r="E34" s="83"/>
      <c r="F34" s="83"/>
      <c r="G34" s="83"/>
      <c r="H34" s="83"/>
      <c r="I34" s="83"/>
      <c r="J34" s="83"/>
      <c r="K34" s="83"/>
      <c r="L34" s="83"/>
      <c r="M34" s="83"/>
      <c r="N34" s="83"/>
    </row>
    <row r="35" customHeight="1" spans="1:14">
      <c r="A35" s="82" t="s">
        <v>99</v>
      </c>
      <c r="B35" s="44" t="s">
        <v>100</v>
      </c>
      <c r="C35" s="83"/>
      <c r="D35" s="84">
        <v>1</v>
      </c>
      <c r="E35" s="85" t="s">
        <v>101</v>
      </c>
      <c r="F35" s="85"/>
      <c r="G35" s="85"/>
      <c r="H35" s="85"/>
      <c r="I35" s="85"/>
      <c r="J35" s="85"/>
      <c r="K35" s="85"/>
      <c r="L35" s="85"/>
      <c r="M35" s="85"/>
      <c r="N35" s="85"/>
    </row>
    <row r="36" customHeight="1" spans="1:14">
      <c r="A36" s="82" t="s">
        <v>102</v>
      </c>
      <c r="B36" s="45"/>
      <c r="C36" s="83"/>
      <c r="D36" s="84">
        <v>2</v>
      </c>
      <c r="E36" s="86"/>
      <c r="F36" s="86"/>
      <c r="G36" s="86"/>
      <c r="H36" s="86"/>
      <c r="I36" s="86"/>
      <c r="J36" s="86"/>
      <c r="K36" s="86"/>
      <c r="L36" s="86"/>
      <c r="M36" s="86"/>
      <c r="N36" s="86"/>
    </row>
  </sheetData>
  <mergeCells count="33">
    <mergeCell ref="A25:N25"/>
    <mergeCell ref="A26:N26"/>
    <mergeCell ref="A27:N27"/>
    <mergeCell ref="A28:N28"/>
    <mergeCell ref="A29:N29"/>
    <mergeCell ref="E32:N32"/>
    <mergeCell ref="E33:N33"/>
    <mergeCell ref="E34:N34"/>
    <mergeCell ref="E35:N35"/>
    <mergeCell ref="E36:N36"/>
    <mergeCell ref="A3:A8"/>
    <mergeCell ref="A10:A12"/>
    <mergeCell ref="A14:A16"/>
    <mergeCell ref="A17:A18"/>
    <mergeCell ref="A19:A21"/>
    <mergeCell ref="A23:A24"/>
    <mergeCell ref="B5:B6"/>
    <mergeCell ref="C5:C6"/>
    <mergeCell ref="C17:C18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N5:N6"/>
    <mergeCell ref="N17:N18"/>
    <mergeCell ref="N23:N24"/>
    <mergeCell ref="O5:O6"/>
    <mergeCell ref="A30:N31"/>
  </mergeCells>
  <pageMargins left="0.75" right="0.75" top="1" bottom="1" header="0.5" footer="0.5"/>
  <headerFooter/>
  <ignoredErrors>
    <ignoredError sqref="O2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zoomScale="160" zoomScaleNormal="160" workbookViewId="0">
      <selection activeCell="B11" sqref="B11"/>
    </sheetView>
  </sheetViews>
  <sheetFormatPr defaultColWidth="8.72072072072072" defaultRowHeight="14.1" outlineLevelCol="2"/>
  <cols>
    <col min="1" max="1" width="39.3153153153153" customWidth="1"/>
    <col min="2" max="2" width="13.0720720720721" customWidth="1"/>
    <col min="3" max="3" width="25.3693693693694" customWidth="1"/>
  </cols>
  <sheetData>
    <row r="1" ht="15" spans="1:3">
      <c r="A1" s="24" t="s">
        <v>103</v>
      </c>
      <c r="B1" s="24" t="s">
        <v>3</v>
      </c>
      <c r="C1" s="25" t="s">
        <v>104</v>
      </c>
    </row>
    <row r="2" ht="15" spans="1:3">
      <c r="A2" s="26" t="s">
        <v>105</v>
      </c>
      <c r="B2" s="27">
        <f ca="1" t="array" ref="B2">SUMPRODUCT(Sheet1!D:D,Sheet1!G:G)</f>
        <v>188</v>
      </c>
      <c r="C2" s="25">
        <f t="array" ref="C2">SUMPRODUCT((Sheet1!B2:B28&lt;&gt;"文件备份服务器")*Sheet1!D2:D28,Sheet1!G2:G28)</f>
        <v>180</v>
      </c>
    </row>
    <row r="3" ht="15" spans="1:3">
      <c r="A3" s="26" t="s">
        <v>106</v>
      </c>
      <c r="B3" s="28">
        <v>3</v>
      </c>
      <c r="C3" s="25"/>
    </row>
    <row r="4" ht="15" spans="1:3">
      <c r="A4" s="26" t="s">
        <v>107</v>
      </c>
      <c r="B4" s="28">
        <v>16</v>
      </c>
      <c r="C4" s="25"/>
    </row>
    <row r="5" ht="15" spans="1:3">
      <c r="A5" s="26" t="s">
        <v>108</v>
      </c>
      <c r="B5" s="27">
        <f ca="1">ROUNDUP(B2/B3/B4,0)</f>
        <v>4</v>
      </c>
      <c r="C5" s="25"/>
    </row>
    <row r="6" ht="15" spans="1:3">
      <c r="A6" s="26" t="s">
        <v>109</v>
      </c>
      <c r="B6" s="29">
        <f ca="1">ROUNDUP(B5/2,0)</f>
        <v>2</v>
      </c>
      <c r="C6" s="25"/>
    </row>
    <row r="7" ht="15" spans="1:3">
      <c r="A7" s="30" t="s">
        <v>110</v>
      </c>
      <c r="B7" s="31">
        <f ca="1" t="array" ref="B7">SUMPRODUCT(Sheet1!D:D,Sheet1!H:H)</f>
        <v>376</v>
      </c>
      <c r="C7" s="25">
        <f t="array" ref="C7">SUMPRODUCT((Sheet1!B2:B28&lt;&gt;"文件备份服务器")*Sheet1!D2:D28,Sheet1!H2:H28)</f>
        <v>360</v>
      </c>
    </row>
    <row r="8" ht="15" spans="1:3">
      <c r="A8" s="30" t="s">
        <v>111</v>
      </c>
      <c r="B8" s="32">
        <v>32</v>
      </c>
      <c r="C8" s="25"/>
    </row>
    <row r="9" ht="15" spans="1:3">
      <c r="A9" s="30" t="s">
        <v>112</v>
      </c>
      <c r="B9" s="33">
        <f ca="1">ROUNDUP(B7/B6/B8,0)+2</f>
        <v>8</v>
      </c>
      <c r="C9" s="25"/>
    </row>
    <row r="10" ht="15" spans="1:3">
      <c r="A10" s="34" t="s">
        <v>113</v>
      </c>
      <c r="B10" s="35">
        <f ca="1" t="array" ref="B10">SUMPRODUCT(Sheet1!D:D,Sheet1!I:I)</f>
        <v>14016</v>
      </c>
      <c r="C10" s="25">
        <f t="array" ref="C10">SUMPRODUCT((Sheet1!B2:B28&lt;&gt;"文件备份服务器")*Sheet1!D2:D28,Sheet1!I2:I28)</f>
        <v>10944</v>
      </c>
    </row>
    <row r="11" ht="15" spans="1:3">
      <c r="A11" s="34" t="s">
        <v>114</v>
      </c>
      <c r="B11" s="36">
        <v>3.5</v>
      </c>
      <c r="C11" s="25"/>
    </row>
    <row r="12" ht="15" spans="1:3">
      <c r="A12" s="34" t="s">
        <v>115</v>
      </c>
      <c r="B12" s="37">
        <f ca="1">ROUNDUP(B10/B11/1000,0)*2</f>
        <v>10</v>
      </c>
      <c r="C12" s="25"/>
    </row>
  </sheetData>
  <sheetCalcPr fullCalcOnLoad="1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opLeftCell="A11" workbookViewId="0">
      <selection activeCell="G13" sqref="G13:H13"/>
    </sheetView>
  </sheetViews>
  <sheetFormatPr defaultColWidth="9" defaultRowHeight="12.4" outlineLevelCol="7"/>
  <cols>
    <col min="1" max="1" width="5.54054054054054" style="2" customWidth="1"/>
    <col min="2" max="2" width="16.6216216216216" style="2" customWidth="1"/>
    <col min="3" max="3" width="64.1801801801802" style="4" customWidth="1"/>
    <col min="4" max="5" width="6.45945945945946" style="2" customWidth="1"/>
    <col min="6" max="6" width="10.7567567567568" style="2" customWidth="1"/>
    <col min="7" max="7" width="11" style="2" customWidth="1"/>
    <col min="8" max="8" width="16.1801801801802" style="2" customWidth="1"/>
    <col min="9" max="16384" width="9" style="2"/>
  </cols>
  <sheetData>
    <row r="1" s="1" customFormat="1" ht="12.45" spans="1:8">
      <c r="A1" s="5" t="s">
        <v>116</v>
      </c>
      <c r="B1" s="5" t="s">
        <v>117</v>
      </c>
      <c r="C1" s="5" t="s">
        <v>118</v>
      </c>
      <c r="D1" s="5" t="s">
        <v>119</v>
      </c>
      <c r="E1" s="6" t="s">
        <v>3</v>
      </c>
      <c r="F1" s="7" t="s">
        <v>120</v>
      </c>
      <c r="G1" s="7" t="s">
        <v>121</v>
      </c>
      <c r="H1" s="8" t="s">
        <v>13</v>
      </c>
    </row>
    <row r="2" s="1" customFormat="1" spans="1:8">
      <c r="A2" s="9" t="s">
        <v>122</v>
      </c>
      <c r="B2" s="5"/>
      <c r="C2" s="5"/>
      <c r="D2" s="5"/>
      <c r="E2" s="6"/>
      <c r="F2" s="7"/>
      <c r="G2" s="7"/>
      <c r="H2" s="8"/>
    </row>
    <row r="3" s="2" customFormat="1" ht="108" customHeight="1" spans="1:8">
      <c r="A3" s="10">
        <v>1</v>
      </c>
      <c r="B3" s="10" t="s">
        <v>123</v>
      </c>
      <c r="C3" s="11" t="s">
        <v>124</v>
      </c>
      <c r="D3" s="10" t="s">
        <v>125</v>
      </c>
      <c r="E3" s="12">
        <v>2</v>
      </c>
      <c r="F3" s="13">
        <v>118000</v>
      </c>
      <c r="G3" s="10">
        <f t="shared" ref="G3:G12" si="0">E3*F3</f>
        <v>236000</v>
      </c>
      <c r="H3" s="10"/>
    </row>
    <row r="4" s="2" customFormat="1" ht="12.45" spans="1:8">
      <c r="A4" s="10">
        <v>2</v>
      </c>
      <c r="B4" s="10" t="s">
        <v>126</v>
      </c>
      <c r="C4" s="14" t="s">
        <v>127</v>
      </c>
      <c r="D4" s="10" t="s">
        <v>128</v>
      </c>
      <c r="E4" s="12">
        <v>1</v>
      </c>
      <c r="F4" s="12">
        <f>12000*6</f>
        <v>72000</v>
      </c>
      <c r="G4" s="10">
        <f t="shared" si="0"/>
        <v>72000</v>
      </c>
      <c r="H4" s="10"/>
    </row>
    <row r="5" s="2" customFormat="1" ht="12.45" spans="1:8">
      <c r="A5" s="10">
        <v>3</v>
      </c>
      <c r="B5" s="10" t="s">
        <v>4</v>
      </c>
      <c r="C5" s="14" t="s">
        <v>129</v>
      </c>
      <c r="D5" s="10" t="s">
        <v>128</v>
      </c>
      <c r="E5" s="12">
        <v>3</v>
      </c>
      <c r="F5" s="12">
        <v>28000</v>
      </c>
      <c r="G5" s="10">
        <f t="shared" si="0"/>
        <v>84000</v>
      </c>
      <c r="H5" s="10"/>
    </row>
    <row r="6" s="2" customFormat="1" ht="12.45" spans="1:8">
      <c r="A6" s="10">
        <v>4</v>
      </c>
      <c r="B6" s="15" t="s">
        <v>130</v>
      </c>
      <c r="C6" s="16" t="s">
        <v>131</v>
      </c>
      <c r="D6" s="10" t="s">
        <v>128</v>
      </c>
      <c r="E6" s="12">
        <v>2</v>
      </c>
      <c r="F6" s="12">
        <v>6600</v>
      </c>
      <c r="G6" s="10">
        <f t="shared" si="0"/>
        <v>13200</v>
      </c>
      <c r="H6" s="10"/>
    </row>
    <row r="7" s="3" customFormat="1" ht="99.45" spans="1:8">
      <c r="A7" s="10">
        <v>5</v>
      </c>
      <c r="B7" s="10" t="s">
        <v>132</v>
      </c>
      <c r="C7" s="16" t="s">
        <v>133</v>
      </c>
      <c r="D7" s="10" t="s">
        <v>128</v>
      </c>
      <c r="E7" s="12">
        <v>1</v>
      </c>
      <c r="F7" s="12">
        <v>45000</v>
      </c>
      <c r="G7" s="10">
        <f t="shared" si="0"/>
        <v>45000</v>
      </c>
      <c r="H7" s="10" t="s">
        <v>134</v>
      </c>
    </row>
    <row r="8" s="3" customFormat="1" ht="126" customHeight="1" spans="1:8">
      <c r="A8" s="10">
        <v>6</v>
      </c>
      <c r="B8" s="10" t="s">
        <v>135</v>
      </c>
      <c r="C8" s="14" t="s">
        <v>136</v>
      </c>
      <c r="D8" s="10" t="s">
        <v>125</v>
      </c>
      <c r="E8" s="12">
        <v>1</v>
      </c>
      <c r="F8" s="12">
        <v>38000</v>
      </c>
      <c r="G8" s="10">
        <f t="shared" si="0"/>
        <v>38000</v>
      </c>
      <c r="H8" s="10"/>
    </row>
    <row r="9" s="3" customFormat="1" ht="24.85" spans="1:8">
      <c r="A9" s="10">
        <v>7</v>
      </c>
      <c r="B9" s="10" t="s">
        <v>137</v>
      </c>
      <c r="C9" s="11" t="s">
        <v>138</v>
      </c>
      <c r="D9" s="10" t="s">
        <v>125</v>
      </c>
      <c r="E9" s="12">
        <v>1</v>
      </c>
      <c r="F9" s="12">
        <v>52560</v>
      </c>
      <c r="G9" s="10">
        <f t="shared" si="0"/>
        <v>52560</v>
      </c>
      <c r="H9" s="10"/>
    </row>
    <row r="10" s="3" customFormat="1" ht="12.45" spans="1:8">
      <c r="A10" s="10">
        <v>8</v>
      </c>
      <c r="B10" s="10" t="s">
        <v>139</v>
      </c>
      <c r="C10" s="14" t="s">
        <v>140</v>
      </c>
      <c r="D10" s="10" t="s">
        <v>141</v>
      </c>
      <c r="E10" s="12">
        <v>10</v>
      </c>
      <c r="F10" s="12">
        <v>500</v>
      </c>
      <c r="G10" s="10">
        <f t="shared" si="0"/>
        <v>5000</v>
      </c>
      <c r="H10" s="10"/>
    </row>
    <row r="11" s="2" customFormat="1" ht="409.3" spans="1:8">
      <c r="A11" s="17">
        <v>9</v>
      </c>
      <c r="B11" s="10" t="s">
        <v>142</v>
      </c>
      <c r="C11" s="18" t="s">
        <v>143</v>
      </c>
      <c r="D11" s="10" t="s">
        <v>125</v>
      </c>
      <c r="E11" s="12">
        <v>1</v>
      </c>
      <c r="F11" s="10">
        <f>220000</f>
        <v>220000</v>
      </c>
      <c r="G11" s="10">
        <f t="shared" si="0"/>
        <v>220000</v>
      </c>
      <c r="H11" s="10"/>
    </row>
    <row r="12" s="2" customFormat="1" ht="24.85" spans="1:8">
      <c r="A12" s="19"/>
      <c r="B12" s="10" t="s">
        <v>144</v>
      </c>
      <c r="C12" s="18" t="s">
        <v>145</v>
      </c>
      <c r="D12" s="10" t="s">
        <v>146</v>
      </c>
      <c r="E12" s="12">
        <v>10</v>
      </c>
      <c r="F12" s="10">
        <v>17800</v>
      </c>
      <c r="G12" s="10">
        <f t="shared" si="0"/>
        <v>178000</v>
      </c>
      <c r="H12" s="10"/>
    </row>
    <row r="13" s="1" customFormat="1" spans="1:8">
      <c r="A13" s="20"/>
      <c r="B13" s="20" t="s">
        <v>147</v>
      </c>
      <c r="C13" s="21"/>
      <c r="D13" s="20"/>
      <c r="E13" s="20"/>
      <c r="F13" s="20"/>
      <c r="G13" s="20">
        <f>SUM(G2:G12)</f>
        <v>943760</v>
      </c>
      <c r="H13" s="20"/>
    </row>
    <row r="14" s="2" customFormat="1" spans="1:8">
      <c r="A14" s="22" t="s">
        <v>148</v>
      </c>
      <c r="B14" s="22"/>
      <c r="C14" s="22"/>
      <c r="D14" s="22"/>
      <c r="E14" s="22"/>
      <c r="F14" s="23"/>
      <c r="G14" s="23"/>
      <c r="H14" s="22"/>
    </row>
  </sheetData>
  <mergeCells count="3">
    <mergeCell ref="G13:H13"/>
    <mergeCell ref="A14:H14"/>
    <mergeCell ref="A11:A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物理机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YHQ</dc:creator>
  <cp:lastModifiedBy>YHQ</cp:lastModifiedBy>
  <dcterms:created xsi:type="dcterms:W3CDTF">2025-02-11T01:07:00Z</dcterms:created>
  <dcterms:modified xsi:type="dcterms:W3CDTF">2025-02-21T08:29:07Z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CDC3E0D3A3DE416897FCD38870E6967C_13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