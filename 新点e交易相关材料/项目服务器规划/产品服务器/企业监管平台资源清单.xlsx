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activeTab="1"/>
  </bookViews>
  <sheets>
    <sheet name="最小化清单" sheetId="1" r:id="rId1"/>
    <sheet name="标准清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<sst xmlns="http://schemas.openxmlformats.org/spreadsheetml/2006/main" count="290" uniqueCount="104">
  <si>
    <t>X86</t>
  </si>
  <si>
    <t>ARM</t>
  </si>
  <si>
    <t>说明:1、此情况仅针对</t>
  </si>
  <si>
    <t>分类</t>
  </si>
  <si>
    <t>服务器名称</t>
  </si>
  <si>
    <t>产品名称</t>
  </si>
  <si>
    <t>产品版本</t>
  </si>
  <si>
    <t>部署说明</t>
  </si>
  <si>
    <t>服务器类型</t>
  </si>
  <si>
    <t>配置属性</t>
  </si>
  <si>
    <t>操作系统</t>
  </si>
  <si>
    <t>资源类型</t>
  </si>
  <si>
    <t>服务器数量(台)</t>
  </si>
  <si>
    <t>CPU(核)</t>
  </si>
  <si>
    <t>内存(G)</t>
  </si>
  <si>
    <t>磁盘空间(G)</t>
  </si>
  <si>
    <t>tomcat内存</t>
  </si>
  <si>
    <t>端口</t>
  </si>
  <si>
    <t>端口说明</t>
  </si>
  <si>
    <t>访问策略</t>
  </si>
  <si>
    <t>IOPS（最低）</t>
  </si>
  <si>
    <t>网络联通需求</t>
  </si>
  <si>
    <t>检测点</t>
  </si>
  <si>
    <t>网络区域</t>
  </si>
  <si>
    <t>标配/选配</t>
  </si>
  <si>
    <t>PAAS平台</t>
  </si>
  <si>
    <t>Ecloud平台、Docker仓库</t>
  </si>
  <si>
    <t>以基础支撑提供的最新版为准</t>
  </si>
  <si>
    <t>提供应用的开发流水线、应用资源管理调度与监控能力，支持系统的部署、配置和运维监控。
需要单独部署，无法混合部署，资源非常紧张的情况下也不能低于8C16G。特殊情况下，联系是架构或集成开发人员评估，能否直接不基于运维监控平台进行部署</t>
  </si>
  <si>
    <t>应用服务器</t>
  </si>
  <si>
    <t>非集群、独立部署</t>
  </si>
  <si>
    <t xml:space="preserve">非信创: 
centos 7.8、7.9最小化安装
信创:
麒麟V10/统信UOS </t>
  </si>
  <si>
    <t>虚拟机</t>
  </si>
  <si>
    <t>3690、41379、5044、443、8080、8081、8443、8091</t>
  </si>
  <si>
    <t>a. 3690为eCloud平台上SVN对外端口
b. 41379为更新服务，集成开发平台对接端口
c. 5044：eCloud采集客户端日志端口，logstash日志组件用
d. 443:eCloud平台上仓库对外端口，用于镜像传输
e. 8080、8081应用访问端口，如8080为ecloud平台对外https访问端口
f. 8443 report服务器安装rasp安全软件要使用到的
g. 8091为（运维监控上报端口）， report服务器运维监控上报服务要使用到的</t>
  </si>
  <si>
    <t>ecloud访问所有开设服务器的18080端口</t>
  </si>
  <si>
    <t>可直接访问互联网</t>
  </si>
  <si>
    <r>
      <rPr>
        <sz val="10"/>
        <color rgb="FF018FFB"/>
        <rFont val="Helvetica Neue"/>
        <charset val="134"/>
      </rPr>
      <t>网络检测：</t>
    </r>
    <r>
      <rPr>
        <sz val="10"/>
        <color rgb="FF018FFB"/>
        <rFont val="Helvetica Neue"/>
        <charset val="134"/>
      </rPr>
      <t xml:space="preserve">
1.可请求互联网：https://dev.epoint.com.cn:5888/clouddev-web</t>
    </r>
  </si>
  <si>
    <t>政务网</t>
  </si>
  <si>
    <t>标配</t>
  </si>
  <si>
    <t>文件存储</t>
  </si>
  <si>
    <t>统一文件存储服务器</t>
  </si>
  <si>
    <t>NFS</t>
  </si>
  <si>
    <t>用于文件资源的统一存储及附件的存储，作为附件服务器。框架侧要求需要单独部署。</t>
  </si>
  <si>
    <t>文件服务器</t>
  </si>
  <si>
    <t>tcp：111、30001、30002、
30003、30004、2049
udp：111</t>
  </si>
  <si>
    <t>监管平台</t>
  </si>
  <si>
    <t>监管平台服务器</t>
  </si>
  <si>
    <t>epoint-esmp-web
epointjob3.0
Redis
elasticsearch</t>
  </si>
  <si>
    <t xml:space="preserve">v1.0.0(内置标签平台)
</t>
  </si>
  <si>
    <t>通用监管平台定位为覆盖多角色（领导、合规管理人员、处置人员等）的综合性监管工具，核心作用是通过监管主体管理、模型配置、预警信息处理、督办及检索等功能，实现对项目、企业、人员全流程合规风险的监测、预警、处置与监督，保障监管工作高效合规开展。
内置了标签产品功能
epointjob，统一调度管理平台:基于开源XXL-JOB框架自研的分布式任务调度平台，提供任务管理、执行器管理、DAG任务调度、任务编排和运维监控。
混合部署场景下，ZWBG-SOA和统一调度平台单独
Elasticsearch，用于标签库和标签检索使用</t>
  </si>
  <si>
    <t>非集群、使用docker</t>
  </si>
  <si>
    <t>非信创: 
centos 7.8、7.9最小化安装
信创:
麒麟V10/统信UOS</t>
  </si>
  <si>
    <t>2G/个</t>
  </si>
  <si>
    <t>标签计算引擎服务器</t>
  </si>
  <si>
    <t>livyandspark</t>
  </si>
  <si>
    <t>v1.0</t>
  </si>
  <si>
    <r>
      <rPr>
        <sz val="10"/>
        <rFont val="Microsoft YaHei"/>
        <charset val="134"/>
      </rPr>
      <t xml:space="preserve">提供离线数据的大数据计算服务，包括数仓各层数据的计算等。
</t>
    </r>
    <r>
      <rPr>
        <sz val="10"/>
        <color rgb="FF00B0F0"/>
        <rFont val="Microsoft YaHei"/>
        <charset val="134"/>
      </rPr>
      <t>选配</t>
    </r>
  </si>
  <si>
    <t>4G/个</t>
  </si>
  <si>
    <t>8635、18080</t>
  </si>
  <si>
    <r>
      <rPr>
        <sz val="10"/>
        <color rgb="FF000000"/>
        <rFont val="Microsoft YaHei"/>
        <charset val="134"/>
      </rPr>
      <t>1、18080为eCloud客户端与服务端通信端口，即ecloud访问所有开设服务器的18080端口</t>
    </r>
    <r>
      <rPr>
        <sz val="10"/>
        <color rgb="FF000000"/>
        <rFont val="Microsoft YaHei"/>
        <charset val="134"/>
      </rPr>
      <t xml:space="preserve">
2、其余为应用端口</t>
    </r>
  </si>
  <si>
    <t>选配</t>
  </si>
  <si>
    <t>数据库</t>
  </si>
  <si>
    <t>图数据库</t>
  </si>
  <si>
    <t>cansssadra、StarRocks</t>
  </si>
  <si>
    <t>数据库服务器</t>
  </si>
  <si>
    <t>传统关系型数据库服务器</t>
  </si>
  <si>
    <t>非信创(Mysql)
/信创(DM)</t>
  </si>
  <si>
    <t>非信创(Mysql v5.7.26)
/信创(DM v8)</t>
  </si>
  <si>
    <t>关系型数据库,用于提供系统数据库服务及各类库表资源的存储服务(如系统库、资源库、前置库、发布库)。
非信创环境下支持:mysql/oracle/sqlserver等。
信创环境下支持:达梦V8/人大金仓V10等。</t>
  </si>
  <si>
    <t>22、3306、18080</t>
  </si>
  <si>
    <t>测试系统</t>
  </si>
  <si>
    <t>测试应用服务器</t>
  </si>
  <si>
    <t>/</t>
  </si>
  <si>
    <r>
      <rPr>
        <b/>
        <sz val="10"/>
        <color rgb="FF000000"/>
        <rFont val="Microsoft YaHei"/>
        <charset val="134"/>
      </rPr>
      <t>包含测试应用、测试组件、测试数据库。</t>
    </r>
    <r>
      <rPr>
        <sz val="10"/>
        <color rgb="FF000000"/>
        <rFont val="Microsoft YaHei"/>
        <charset val="134"/>
      </rPr>
      <t xml:space="preserve">
如果条件允许，更建议再单独规划一台服务器给数据库。这也是公司最为推荐的做法。</t>
    </r>
  </si>
  <si>
    <t>备份服务器</t>
  </si>
  <si>
    <t>异机备份服务器</t>
  </si>
  <si>
    <t>rsync</t>
  </si>
  <si>
    <t>以基础支撑提供的为准</t>
  </si>
  <si>
    <t>异机备份服务。一般情况下，都必须具备。如果客户侧本身具备该能力，在于客户侧确认项目中不再单独建设异机备份服务的情况下，可取消。</t>
  </si>
  <si>
    <t>工作台</t>
  </si>
  <si>
    <t>跳板机服务器</t>
  </si>
  <si>
    <t>svn客户端</t>
  </si>
  <si>
    <t>提供跳板机服务。部署有仓库客户端，用于远程运维登录及提交生产环境的程序部署包以及查看相关应用或数据。</t>
  </si>
  <si>
    <t>非信创: 
windowsSever2012
信创:
麒麟V10桌面版/统信UOS 桌面版</t>
  </si>
  <si>
    <t>2345、3389</t>
  </si>
  <si>
    <t>合计</t>
  </si>
  <si>
    <r>
      <rPr>
        <sz val="10"/>
        <color rgb="FF000000"/>
        <rFont val="Microsoft YaHei"/>
        <charset val="134"/>
      </rPr>
      <t>tcp：111、30001、30002、</t>
    </r>
    <r>
      <rPr>
        <sz val="10"/>
        <color rgb="FF000000"/>
        <rFont val="Microsoft YaHei"/>
        <charset val="134"/>
      </rPr>
      <t xml:space="preserve">
30003、30004、2049
udp：111</t>
    </r>
  </si>
  <si>
    <t>业务应用</t>
  </si>
  <si>
    <t>epoint-esmp-web
epointjob</t>
  </si>
  <si>
    <t>v1.0.0(内置标签平台)
v3.0</t>
  </si>
  <si>
    <t>监管平台定位为覆盖多角色（领导、合规管理人员、处置人员等）的综合性监管工具，核心作用是通过监管主体管理、模型配置、预警信息处理、督办及检索等功能，实现对项目、企业、人员全流程合规风险的监测、预警、处置与监督，保障监管工作高效合规开展。
内置了标签产品功能;
epointjob，统一调度管理平台:基于开源XXL-JOB框架自研的分布式任务调度平台，提供任务管理、执行器管理、DAG任务调度、任务编排和运维监控。</t>
  </si>
  <si>
    <t>离线计算引擎服务器</t>
  </si>
  <si>
    <t>提供离线数据的大数据计算服务，包括数仓各层数据的计算等
选配</t>
  </si>
  <si>
    <t>分析型数据库</t>
  </si>
  <si>
    <t>StarRocks</t>
  </si>
  <si>
    <t>-</t>
  </si>
  <si>
    <t>以DBA提供的最新版本为准，2025年12月时，为v3.3.19版本</t>
  </si>
  <si>
    <t>cansssadra</t>
  </si>
  <si>
    <t>用于标签跨主体属性加速查询</t>
  </si>
  <si>
    <t>检索数据库服务器</t>
  </si>
  <si>
    <t>ES</t>
  </si>
  <si>
    <t>Elasticsearch*(7.10.2)，用于标签检索使用</t>
  </si>
  <si>
    <r>
      <rPr>
        <u/>
        <sz val="10"/>
        <color rgb="FF000000"/>
        <rFont val="Microsoft YaHei"/>
        <charset val="134"/>
      </rPr>
      <t>1、18080为eCloud客户端与服务端通信端口，即ecloud访问所有开设服务器的18080端口</t>
    </r>
    <r>
      <rPr>
        <sz val="10"/>
        <color rgb="FF000000"/>
        <rFont val="Microsoft YaHei"/>
        <charset val="134"/>
      </rPr>
      <t xml:space="preserve">
2、其余为应用端口</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</si>
</sst>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0"/>
      <color theme="1"/>
      <name val="宋体"/>
      <charset val="134"/>
      <scheme val="minor"/>
    </font>
    <font>
      <b/>
      <sz val="11"/>
      <name val="Microsoft YaHei"/>
      <charset val="134"/>
    </font>
    <font>
      <b/>
      <sz val="11"/>
      <color rgb="FFFF0000"/>
      <name val="Microsoft YaHei"/>
      <charset val="134"/>
    </font>
    <font>
      <sz val="10"/>
      <name val="Microsoft YaHei"/>
      <charset val="134"/>
    </font>
    <font>
      <sz val="9"/>
      <name val="Microsoft YaHei"/>
      <charset val="134"/>
    </font>
    <font>
      <sz val="10"/>
      <name val="宋体"/>
      <charset val="134"/>
      <scheme val="minor"/>
    </font>
    <font>
      <b/>
      <sz val="10"/>
      <name val="宋体"/>
      <charset val="134"/>
    </font>
    <font>
      <sz val="10"/>
      <name val="宋体"/>
      <charset val="134"/>
    </font>
    <font>
      <sz val="9"/>
      <name val="宋体"/>
      <charset val="134"/>
    </font>
    <font>
      <sz val="9"/>
      <name val="宋体"/>
      <charset val="134"/>
      <scheme val="minor"/>
    </font>
    <font>
      <b/>
      <sz val="1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000000"/>
      <name val="Microsoft YaHei"/>
      <charset val="134"/>
    </font>
    <font>
      <sz val="10"/>
      <color rgb="FF000000"/>
      <name val="Microsoft YaHei"/>
      <charset val="134"/>
    </font>
    <font>
      <u/>
      <sz val="10"/>
      <color rgb="FF000000"/>
      <name val="Microsoft YaHei"/>
      <charset val="134"/>
    </font>
    <font>
      <sz val="10"/>
      <color rgb="FF00B0F0"/>
      <name val="Microsoft YaHei"/>
      <charset val="134"/>
    </font>
    <font>
      <sz val="10"/>
      <color rgb="FF018FFB"/>
      <name val="Helvetica Neue"/>
      <charset val="134"/>
    </font>
  </fonts>
  <fills count="37">
    <fill>
      <patternFill patternType="none"/>
    </fill>
    <fill>
      <patternFill patternType="gray125"/>
    </fill>
    <fill>
      <patternFill patternType="solid">
        <fgColor rgb="FFC0C0C0"/>
        <bgColor indexed="64"/>
      </patternFill>
    </fill>
    <fill>
      <patternFill patternType="solid">
        <fgColor rgb="FF00A3F5"/>
        <bgColor indexed="64"/>
      </patternFill>
    </fill>
    <fill>
      <patternFill patternType="solid">
        <fgColor rgb="FF319B62"/>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Alignment="0">
      <alignment vertical="center"/>
    </xf>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6"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7" borderId="8" applyNumberFormat="0" applyAlignment="0" applyProtection="0">
      <alignment vertical="center"/>
    </xf>
    <xf numFmtId="0" fontId="21" fillId="8" borderId="9" applyNumberFormat="0" applyAlignment="0" applyProtection="0">
      <alignment vertical="center"/>
    </xf>
    <xf numFmtId="0" fontId="22" fillId="8" borderId="8" applyNumberFormat="0" applyAlignment="0" applyProtection="0">
      <alignment vertical="center"/>
    </xf>
    <xf numFmtId="0" fontId="23" fillId="9"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cellStyleXfs>
  <cellXfs count="34">
    <xf numFmtId="0" fontId="0" fillId="0" borderId="0" xfId="0">
      <alignment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2" fillId="2" borderId="0" xfId="0" applyFont="1" applyFill="1" applyAlignment="1">
      <alignment vertical="center" wrapText="1"/>
    </xf>
    <xf numFmtId="0" fontId="2" fillId="2" borderId="1" xfId="0" applyFont="1" applyFill="1" applyBorder="1" applyAlignment="1">
      <alignment vertical="center" wrapText="1"/>
    </xf>
    <xf numFmtId="0" fontId="0" fillId="0" borderId="1" xfId="0" applyBorder="1">
      <alignment vertical="center"/>
    </xf>
    <xf numFmtId="0" fontId="1" fillId="5" borderId="0" xfId="0" applyFont="1" applyFill="1" applyAlignment="1">
      <alignment horizontal="center"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1" fillId="5" borderId="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vertical="center" wrapText="1"/>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3" fillId="0" borderId="3" xfId="0" applyFont="1" applyBorder="1" applyAlignment="1">
      <alignment horizontal="center" vertical="center" wrapText="1"/>
    </xf>
    <xf numFmtId="0" fontId="0" fillId="0" borderId="2" xfId="0" applyBorder="1" applyAlignment="1">
      <alignment vertical="center" wrapText="1"/>
    </xf>
    <xf numFmtId="0" fontId="0" fillId="0" borderId="2" xfId="0" applyBorder="1">
      <alignment vertical="center"/>
    </xf>
    <xf numFmtId="0" fontId="3" fillId="0" borderId="2" xfId="0" applyFont="1" applyBorder="1" applyAlignment="1">
      <alignment horizontal="left" vertical="center" wrapText="1"/>
    </xf>
    <xf numFmtId="0" fontId="5" fillId="0" borderId="2" xfId="0" applyFont="1" applyBorder="1" applyAlignment="1">
      <alignment vertical="center" wrapText="1"/>
    </xf>
    <xf numFmtId="0" fontId="3" fillId="0" borderId="3" xfId="0" applyFont="1" applyBorder="1" applyAlignment="1">
      <alignment vertical="center" wrapText="1"/>
    </xf>
    <xf numFmtId="0" fontId="4" fillId="0" borderId="3" xfId="0" applyFont="1" applyBorder="1" applyAlignment="1">
      <alignment horizontal="center" vertical="center"/>
    </xf>
    <xf numFmtId="0" fontId="6" fillId="0" borderId="2" xfId="0" applyFont="1" applyBorder="1" applyAlignment="1">
      <alignment horizontal="center" vertical="center"/>
    </xf>
    <xf numFmtId="0" fontId="7" fillId="0" borderId="2" xfId="0" applyFont="1" applyBorder="1" applyAlignment="1">
      <alignment horizontal="center" vertical="center"/>
    </xf>
    <xf numFmtId="0" fontId="8" fillId="0" borderId="2" xfId="0" applyFont="1" applyBorder="1" applyAlignment="1">
      <alignment horizontal="center" vertical="center"/>
    </xf>
    <xf numFmtId="0" fontId="9" fillId="0" borderId="0" xfId="0" applyFont="1">
      <alignment vertical="center"/>
    </xf>
    <xf numFmtId="0" fontId="3" fillId="0" borderId="2" xfId="0" applyFont="1" applyFill="1" applyBorder="1" applyAlignment="1">
      <alignment vertical="center" wrapText="1"/>
    </xf>
    <xf numFmtId="0" fontId="3" fillId="0" borderId="2" xfId="0" applyFont="1" applyFill="1" applyBorder="1" applyAlignment="1">
      <alignment horizontal="left" vertical="center" wrapText="1"/>
    </xf>
    <xf numFmtId="0" fontId="0" fillId="0" borderId="4" xfId="0" applyBorder="1">
      <alignment vertical="center"/>
    </xf>
    <xf numFmtId="0" fontId="3" fillId="0" borderId="3" xfId="0" applyFont="1" applyBorder="1" applyAlignment="1">
      <alignment horizontal="left" vertical="center" wrapText="1"/>
    </xf>
    <xf numFmtId="0" fontId="10" fillId="0" borderId="2" xfId="0" applyFont="1" applyBorder="1" applyAlignment="1">
      <alignment horizontal="center" vertical="center"/>
    </xf>
    <xf numFmtId="0" fontId="0" fillId="0" borderId="2" xfId="0" applyBorder="1" applyAlignment="1">
      <alignment horizontal="center" vertical="center"/>
    </xf>
    <xf numFmtId="0" fontId="9" fillId="0" borderId="2"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dev.epoint.com.cn:5888/clouddev-web"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ev.epoint.com.cn:5888/clouddev-web"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最小化清单"/>
  <dimension ref="A1:W177"/>
  <sheetViews>
    <sheetView workbookViewId="0">
      <pane xSplit="2" ySplit="2" topLeftCell="C5" activePane="bottomRight" state="frozen"/>
      <selection/>
      <selection pane="topRight"/>
      <selection pane="bottomLeft"/>
      <selection pane="bottomRight" activeCell="C10" sqref="C10"/>
    </sheetView>
  </sheetViews>
  <sheetFormatPr defaultColWidth="14" defaultRowHeight="18" customHeight="1"/>
  <cols>
    <col min="2" max="4" width="23.0582524271845" customWidth="1"/>
    <col min="5" max="5" width="43.3009708737864" customWidth="1"/>
    <col min="8" max="8" width="30.0776699029126" customWidth="1"/>
    <col min="16" max="16" width="26.1747572815534" customWidth="1"/>
    <col min="17" max="17" width="47.3398058252427" customWidth="1"/>
  </cols>
  <sheetData>
    <row r="1" ht="15.45" spans="1:23">
      <c r="A1" s="1"/>
      <c r="B1" s="1"/>
      <c r="C1" s="1"/>
      <c r="D1" s="1"/>
      <c r="E1" s="1"/>
      <c r="F1" s="1"/>
      <c r="G1" s="1"/>
      <c r="H1" s="1"/>
      <c r="I1" s="1"/>
      <c r="J1" s="1"/>
      <c r="K1" s="2" t="s">
        <v>0</v>
      </c>
      <c r="L1" s="3" t="s">
        <v>1</v>
      </c>
      <c r="M1" s="1"/>
      <c r="N1" s="1"/>
      <c r="O1" s="4"/>
      <c r="P1" s="5" t="s">
        <v>2</v>
      </c>
      <c r="Q1" s="6"/>
      <c r="R1" s="6"/>
      <c r="S1" s="1"/>
      <c r="T1" s="7"/>
      <c r="U1" s="7"/>
      <c r="V1" s="1"/>
      <c r="W1" s="1"/>
    </row>
    <row r="2" ht="30.85" spans="1:23">
      <c r="A2" s="8" t="s">
        <v>3</v>
      </c>
      <c r="B2" s="8" t="s">
        <v>4</v>
      </c>
      <c r="C2" s="8" t="s">
        <v>5</v>
      </c>
      <c r="D2" s="8" t="s">
        <v>6</v>
      </c>
      <c r="E2" s="8" t="s">
        <v>7</v>
      </c>
      <c r="F2" s="8" t="s">
        <v>8</v>
      </c>
      <c r="G2" s="8" t="s">
        <v>9</v>
      </c>
      <c r="H2" s="8" t="s">
        <v>10</v>
      </c>
      <c r="I2" s="8" t="s">
        <v>11</v>
      </c>
      <c r="J2" s="8" t="s">
        <v>12</v>
      </c>
      <c r="K2" s="8" t="s">
        <v>13</v>
      </c>
      <c r="L2" s="8" t="s">
        <v>13</v>
      </c>
      <c r="M2" s="8" t="s">
        <v>14</v>
      </c>
      <c r="N2" s="9" t="s">
        <v>15</v>
      </c>
      <c r="O2" s="9" t="s">
        <v>16</v>
      </c>
      <c r="P2" s="9" t="s">
        <v>17</v>
      </c>
      <c r="Q2" s="9" t="s">
        <v>18</v>
      </c>
      <c r="R2" s="9" t="s">
        <v>19</v>
      </c>
      <c r="S2" s="8" t="s">
        <v>20</v>
      </c>
      <c r="T2" s="10" t="s">
        <v>21</v>
      </c>
      <c r="U2" s="10" t="s">
        <v>22</v>
      </c>
      <c r="V2" s="11" t="s">
        <v>23</v>
      </c>
      <c r="W2" s="8" t="s">
        <v>24</v>
      </c>
    </row>
    <row r="3" ht="107.25" customHeight="1" spans="1:23">
      <c r="A3" s="12" t="s">
        <v>25</v>
      </c>
      <c r="B3" s="19" t="s">
        <v>26</v>
      </c>
      <c r="C3" s="19" t="s">
        <v>25</v>
      </c>
      <c r="D3" s="13" t="s">
        <v>27</v>
      </c>
      <c r="E3" s="19" t="s">
        <v>28</v>
      </c>
      <c r="F3" s="14" t="s">
        <v>29</v>
      </c>
      <c r="G3" s="12" t="s">
        <v>30</v>
      </c>
      <c r="H3" s="19" t="s">
        <v>31</v>
      </c>
      <c r="I3" s="12" t="s">
        <v>32</v>
      </c>
      <c r="J3" s="12">
        <v>1</v>
      </c>
      <c r="K3" s="12">
        <v>8</v>
      </c>
      <c r="L3" s="12">
        <f>K3*2</f>
        <v>16</v>
      </c>
      <c r="M3" s="12">
        <f>K3*2</f>
        <v>16</v>
      </c>
      <c r="N3" s="12">
        <v>1000</v>
      </c>
      <c r="O3" s="13"/>
      <c r="P3" s="13" t="s">
        <v>33</v>
      </c>
      <c r="Q3" s="13" t="s">
        <v>34</v>
      </c>
      <c r="R3" s="13" t="s">
        <v>35</v>
      </c>
      <c r="S3" s="12">
        <v>1000</v>
      </c>
      <c r="T3" s="12" t="s">
        <v>36</v>
      </c>
      <c r="U3" s="15" t="s">
        <v>37</v>
      </c>
      <c r="V3" s="12" t="s">
        <v>38</v>
      </c>
      <c r="W3" s="14" t="s">
        <v>39</v>
      </c>
    </row>
    <row r="4" ht="52.5" customHeight="1" spans="1:23">
      <c r="A4" s="12" t="s">
        <v>40</v>
      </c>
      <c r="B4" s="13" t="s">
        <v>41</v>
      </c>
      <c r="C4" s="13" t="s">
        <v>42</v>
      </c>
      <c r="D4" s="12" t="s">
        <v>27</v>
      </c>
      <c r="E4" s="13" t="s">
        <v>43</v>
      </c>
      <c r="F4" s="14" t="s">
        <v>44</v>
      </c>
      <c r="G4" s="12" t="s">
        <v>30</v>
      </c>
      <c r="H4" s="19" t="s">
        <v>31</v>
      </c>
      <c r="I4" s="12" t="s">
        <v>32</v>
      </c>
      <c r="J4" s="16">
        <v>1</v>
      </c>
      <c r="K4" s="12">
        <v>2</v>
      </c>
      <c r="L4" s="12">
        <f>K4*2</f>
        <v>4</v>
      </c>
      <c r="M4" s="12">
        <f>K4*2</f>
        <v>4</v>
      </c>
      <c r="N4" s="12">
        <v>500</v>
      </c>
      <c r="O4" s="13"/>
      <c r="P4" s="13" t="s">
        <v>45</v>
      </c>
      <c r="Q4" s="13"/>
      <c r="R4" s="13"/>
      <c r="S4" s="12">
        <v>1000</v>
      </c>
      <c r="T4" s="12"/>
      <c r="U4" s="12"/>
      <c r="V4" s="12" t="s">
        <v>38</v>
      </c>
      <c r="W4" s="14" t="s">
        <v>39</v>
      </c>
    </row>
    <row r="5" ht="113.25" customHeight="1" spans="1:23">
      <c r="A5" s="12" t="s">
        <v>46</v>
      </c>
      <c r="B5" s="27" t="s">
        <v>47</v>
      </c>
      <c r="C5" s="13" t="s">
        <v>48</v>
      </c>
      <c r="D5" s="13" t="s">
        <v>49</v>
      </c>
      <c r="E5" s="13" t="s">
        <v>50</v>
      </c>
      <c r="F5" s="14" t="s">
        <v>29</v>
      </c>
      <c r="G5" s="12" t="s">
        <v>51</v>
      </c>
      <c r="H5" s="13" t="s">
        <v>52</v>
      </c>
      <c r="I5" s="12" t="s">
        <v>32</v>
      </c>
      <c r="J5" s="12">
        <v>1</v>
      </c>
      <c r="K5" s="12">
        <v>8</v>
      </c>
      <c r="L5" s="12">
        <f>K5*2</f>
        <v>16</v>
      </c>
      <c r="M5" s="12">
        <f>K5*2</f>
        <v>16</v>
      </c>
      <c r="N5" s="12">
        <v>200</v>
      </c>
      <c r="O5" s="13" t="s">
        <v>53</v>
      </c>
      <c r="P5" s="13"/>
      <c r="Q5" s="13"/>
      <c r="R5" s="13"/>
      <c r="S5" s="12">
        <v>1000</v>
      </c>
      <c r="T5" s="12"/>
      <c r="U5" s="12"/>
      <c r="V5" s="12" t="s">
        <v>38</v>
      </c>
      <c r="W5" s="14" t="s">
        <v>39</v>
      </c>
    </row>
    <row r="6" ht="77.25" customHeight="1" spans="1:23">
      <c r="A6" s="18"/>
      <c r="B6" s="28" t="s">
        <v>54</v>
      </c>
      <c r="C6" s="19" t="s">
        <v>55</v>
      </c>
      <c r="D6" s="19" t="s">
        <v>56</v>
      </c>
      <c r="E6" s="13" t="s">
        <v>57</v>
      </c>
      <c r="F6" s="14" t="s">
        <v>29</v>
      </c>
      <c r="G6" s="12" t="s">
        <v>51</v>
      </c>
      <c r="H6" s="19" t="s">
        <v>31</v>
      </c>
      <c r="I6" s="12" t="s">
        <v>32</v>
      </c>
      <c r="J6" s="12">
        <v>1</v>
      </c>
      <c r="K6" s="12">
        <v>8</v>
      </c>
      <c r="L6" s="12">
        <f>K6*2</f>
        <v>16</v>
      </c>
      <c r="M6" s="12">
        <f>K6*2</f>
        <v>16</v>
      </c>
      <c r="N6" s="12">
        <v>200</v>
      </c>
      <c r="O6" s="13" t="s">
        <v>58</v>
      </c>
      <c r="P6" s="13" t="s">
        <v>59</v>
      </c>
      <c r="Q6" s="13" t="s">
        <v>60</v>
      </c>
      <c r="R6" s="13"/>
      <c r="S6" s="12">
        <v>1000</v>
      </c>
      <c r="T6" s="12"/>
      <c r="U6" s="12"/>
      <c r="V6" s="12" t="s">
        <v>38</v>
      </c>
      <c r="W6" s="14" t="s">
        <v>61</v>
      </c>
    </row>
    <row r="7" ht="64.5" customHeight="1" spans="1:23">
      <c r="A7" s="16" t="s">
        <v>62</v>
      </c>
      <c r="B7" s="27" t="s">
        <v>63</v>
      </c>
      <c r="C7" s="13" t="s">
        <v>64</v>
      </c>
      <c r="D7" s="13"/>
      <c r="E7" s="13"/>
      <c r="F7" s="14" t="s">
        <v>65</v>
      </c>
      <c r="G7" s="12" t="s">
        <v>51</v>
      </c>
      <c r="H7" s="19" t="s">
        <v>31</v>
      </c>
      <c r="I7" s="12" t="s">
        <v>32</v>
      </c>
      <c r="J7" s="12">
        <v>1</v>
      </c>
      <c r="K7" s="12">
        <v>16</v>
      </c>
      <c r="L7" s="12">
        <v>32</v>
      </c>
      <c r="M7" s="12">
        <v>32</v>
      </c>
      <c r="N7" s="12">
        <v>500</v>
      </c>
      <c r="O7" s="13"/>
      <c r="P7" s="13"/>
      <c r="Q7" s="13"/>
      <c r="R7" s="13"/>
      <c r="S7" s="12"/>
      <c r="T7" s="12"/>
      <c r="U7" s="12"/>
      <c r="V7" s="12"/>
      <c r="W7" s="14"/>
    </row>
    <row r="8" ht="64.5" customHeight="1" spans="1:23">
      <c r="A8" s="29"/>
      <c r="B8" s="27" t="s">
        <v>66</v>
      </c>
      <c r="C8" s="13" t="s">
        <v>67</v>
      </c>
      <c r="D8" s="13" t="s">
        <v>68</v>
      </c>
      <c r="E8" s="13" t="s">
        <v>69</v>
      </c>
      <c r="F8" s="14" t="s">
        <v>65</v>
      </c>
      <c r="G8" s="12" t="s">
        <v>30</v>
      </c>
      <c r="H8" s="19" t="s">
        <v>31</v>
      </c>
      <c r="I8" s="12" t="s">
        <v>32</v>
      </c>
      <c r="J8" s="12">
        <v>1</v>
      </c>
      <c r="K8" s="12">
        <v>8</v>
      </c>
      <c r="L8" s="12">
        <f>K8*2</f>
        <v>16</v>
      </c>
      <c r="M8" s="12">
        <f>K8*2</f>
        <v>16</v>
      </c>
      <c r="N8" s="12">
        <v>500</v>
      </c>
      <c r="O8" s="13"/>
      <c r="P8" s="13" t="s">
        <v>70</v>
      </c>
      <c r="Q8" s="13" t="s">
        <v>60</v>
      </c>
      <c r="R8" s="13"/>
      <c r="S8" s="12">
        <v>2000</v>
      </c>
      <c r="T8" s="12"/>
      <c r="U8" s="12"/>
      <c r="V8" s="12" t="s">
        <v>38</v>
      </c>
      <c r="W8" s="14" t="s">
        <v>39</v>
      </c>
    </row>
    <row r="9" ht="54.85" spans="1:23">
      <c r="A9" s="12" t="s">
        <v>71</v>
      </c>
      <c r="B9" s="13" t="s">
        <v>72</v>
      </c>
      <c r="C9" s="13" t="s">
        <v>73</v>
      </c>
      <c r="D9" s="13" t="s">
        <v>73</v>
      </c>
      <c r="E9" s="20" t="s">
        <v>74</v>
      </c>
      <c r="F9" s="14" t="s">
        <v>65</v>
      </c>
      <c r="G9" s="12" t="s">
        <v>30</v>
      </c>
      <c r="H9" s="19" t="s">
        <v>31</v>
      </c>
      <c r="I9" s="12" t="s">
        <v>32</v>
      </c>
      <c r="J9" s="12">
        <v>1</v>
      </c>
      <c r="K9" s="12">
        <v>8</v>
      </c>
      <c r="L9" s="12">
        <f>K9*2</f>
        <v>16</v>
      </c>
      <c r="M9" s="12">
        <f>K9*2</f>
        <v>16</v>
      </c>
      <c r="N9" s="12">
        <v>500</v>
      </c>
      <c r="O9" s="13"/>
      <c r="P9" s="13" t="s">
        <v>73</v>
      </c>
      <c r="Q9" s="13"/>
      <c r="R9" s="13"/>
      <c r="S9" s="12">
        <v>1000</v>
      </c>
      <c r="T9" s="12"/>
      <c r="U9" s="12"/>
      <c r="V9" s="12" t="s">
        <v>38</v>
      </c>
      <c r="W9" s="14" t="s">
        <v>61</v>
      </c>
    </row>
    <row r="10" ht="54.85" spans="1:23">
      <c r="A10" s="12" t="s">
        <v>75</v>
      </c>
      <c r="B10" s="13" t="s">
        <v>76</v>
      </c>
      <c r="C10" s="13" t="s">
        <v>77</v>
      </c>
      <c r="D10" s="13" t="s">
        <v>78</v>
      </c>
      <c r="E10" s="13" t="s">
        <v>79</v>
      </c>
      <c r="F10" s="14" t="s">
        <v>29</v>
      </c>
      <c r="G10" s="12" t="s">
        <v>30</v>
      </c>
      <c r="H10" s="19" t="s">
        <v>31</v>
      </c>
      <c r="I10" s="12" t="s">
        <v>32</v>
      </c>
      <c r="J10" s="12">
        <v>1</v>
      </c>
      <c r="K10" s="12">
        <v>4</v>
      </c>
      <c r="L10" s="12">
        <f>K10*2</f>
        <v>8</v>
      </c>
      <c r="M10" s="12">
        <v>4</v>
      </c>
      <c r="N10" s="12">
        <v>1000</v>
      </c>
      <c r="O10" s="13"/>
      <c r="P10" s="19">
        <v>873</v>
      </c>
      <c r="Q10" s="13"/>
      <c r="R10" s="13"/>
      <c r="S10" s="12">
        <v>1000</v>
      </c>
      <c r="T10" s="12"/>
      <c r="U10" s="12"/>
      <c r="V10" s="12" t="s">
        <v>38</v>
      </c>
      <c r="W10" s="14" t="s">
        <v>39</v>
      </c>
    </row>
    <row r="11" ht="54.85" spans="1:23">
      <c r="A11" s="16" t="s">
        <v>80</v>
      </c>
      <c r="B11" s="13" t="s">
        <v>81</v>
      </c>
      <c r="C11" s="13" t="s">
        <v>82</v>
      </c>
      <c r="D11" s="13" t="s">
        <v>78</v>
      </c>
      <c r="E11" s="13" t="s">
        <v>83</v>
      </c>
      <c r="F11" s="14" t="s">
        <v>29</v>
      </c>
      <c r="G11" s="16" t="s">
        <v>73</v>
      </c>
      <c r="H11" s="30" t="s">
        <v>84</v>
      </c>
      <c r="I11" s="16" t="s">
        <v>32</v>
      </c>
      <c r="J11" s="16">
        <v>1</v>
      </c>
      <c r="K11" s="16">
        <v>4</v>
      </c>
      <c r="L11" s="16">
        <f>K11*2</f>
        <v>8</v>
      </c>
      <c r="M11" s="16">
        <v>4</v>
      </c>
      <c r="N11" s="16">
        <v>300</v>
      </c>
      <c r="O11" s="21"/>
      <c r="P11" s="21" t="s">
        <v>85</v>
      </c>
      <c r="Q11" s="21"/>
      <c r="R11" s="21"/>
      <c r="S11" s="16">
        <v>1000</v>
      </c>
      <c r="T11" s="16"/>
      <c r="U11" s="16"/>
      <c r="V11" s="16" t="s">
        <v>38</v>
      </c>
      <c r="W11" s="22" t="s">
        <v>61</v>
      </c>
    </row>
    <row r="12" ht="12.4" spans="1:23">
      <c r="A12" s="31" t="s">
        <v>86</v>
      </c>
      <c r="B12" s="18"/>
      <c r="C12" s="31"/>
      <c r="D12" s="31"/>
      <c r="E12" s="31"/>
      <c r="F12" s="18"/>
      <c r="G12" s="18"/>
      <c r="H12" s="18"/>
      <c r="I12" s="18"/>
      <c r="J12" s="32">
        <f>SUM(J3:J11)</f>
        <v>9</v>
      </c>
      <c r="K12" s="32">
        <f>SUM(K3:K11)</f>
        <v>66</v>
      </c>
      <c r="L12" s="32">
        <f>SUM(L3:L11)</f>
        <v>132</v>
      </c>
      <c r="M12" s="32">
        <f>SUM(M3:M11)</f>
        <v>124</v>
      </c>
      <c r="N12" s="32">
        <f>SUM(N3:N11)</f>
        <v>4700</v>
      </c>
      <c r="O12" s="32"/>
      <c r="P12" s="32"/>
      <c r="Q12" s="32"/>
      <c r="R12" s="32"/>
      <c r="S12" s="32"/>
      <c r="T12" s="32"/>
      <c r="U12" s="32"/>
      <c r="V12" s="32"/>
      <c r="W12" s="33"/>
    </row>
    <row r="13" ht="12.4" spans="1:23">
      <c r="W13" s="26"/>
    </row>
    <row r="14" ht="12.4" spans="1:23">
      <c r="W14" s="26"/>
    </row>
    <row r="15" ht="12.4" spans="1:23">
      <c r="W15" s="26"/>
    </row>
    <row r="16" ht="12.4" spans="1:23">
      <c r="W16" s="26"/>
    </row>
    <row r="17" ht="12.4" spans="23:23">
      <c r="W17" s="26"/>
    </row>
    <row r="18" ht="12.4" spans="23:23">
      <c r="W18" s="26"/>
    </row>
    <row r="19" ht="12.4" spans="23:23">
      <c r="W19" s="26"/>
    </row>
    <row r="20" ht="12.4" spans="23:23">
      <c r="W20" s="26"/>
    </row>
    <row r="21" ht="12.4" spans="23:23">
      <c r="W21" s="26"/>
    </row>
    <row r="22" ht="12.4" spans="23:23">
      <c r="W22" s="26"/>
    </row>
    <row r="23" ht="12.4" spans="23:23">
      <c r="W23" s="26"/>
    </row>
    <row r="24" ht="12.4" spans="23:23">
      <c r="W24" s="26"/>
    </row>
    <row r="25" ht="12.4" spans="23:23">
      <c r="W25" s="26"/>
    </row>
    <row r="26" ht="12.4" spans="23:23">
      <c r="W26" s="26"/>
    </row>
    <row r="27" ht="12.4" spans="23:23">
      <c r="W27" s="26"/>
    </row>
    <row r="28" ht="12.4" spans="23:23">
      <c r="W28" s="26"/>
    </row>
    <row r="29" ht="12.4" spans="23:23">
      <c r="W29" s="26"/>
    </row>
    <row r="30" ht="12.4" spans="23:23">
      <c r="W30" s="26"/>
    </row>
    <row r="31" ht="12.4" spans="23:23">
      <c r="W31" s="26"/>
    </row>
    <row r="32" ht="12.4" spans="23:23">
      <c r="W32" s="26"/>
    </row>
    <row r="33" ht="12.4" spans="23:23">
      <c r="W33" s="26"/>
    </row>
    <row r="34" ht="12.4" spans="23:23">
      <c r="W34" s="26"/>
    </row>
    <row r="35" ht="12.4" spans="23:23">
      <c r="W35" s="26"/>
    </row>
    <row r="36" ht="12.4" spans="23:23">
      <c r="W36" s="26"/>
    </row>
    <row r="37" ht="12.4" spans="23:23">
      <c r="W37" s="26"/>
    </row>
    <row r="38" ht="12.4" spans="23:23">
      <c r="W38" s="26"/>
    </row>
    <row r="39" ht="12.4" spans="23:23">
      <c r="W39" s="26"/>
    </row>
    <row r="40" ht="12.4" spans="23:23">
      <c r="W40" s="26"/>
    </row>
    <row r="41" ht="12.4" spans="23:23">
      <c r="W41" s="26"/>
    </row>
    <row r="42" ht="12.4" spans="23:23">
      <c r="W42" s="26"/>
    </row>
    <row r="43" ht="12.4" spans="23:23">
      <c r="W43" s="26"/>
    </row>
    <row r="44" ht="12.4" spans="23:23">
      <c r="W44" s="26"/>
    </row>
    <row r="45" ht="12.4" spans="23:23">
      <c r="W45" s="26"/>
    </row>
    <row r="46" ht="12.4" spans="23:23">
      <c r="W46" s="26"/>
    </row>
    <row r="47" ht="12.4" spans="23:23">
      <c r="W47" s="26"/>
    </row>
    <row r="48" ht="12.4" spans="23:23">
      <c r="W48" s="26"/>
    </row>
    <row r="49" ht="12.4" spans="23:23">
      <c r="W49" s="26"/>
    </row>
    <row r="50" ht="12.4" spans="23:23">
      <c r="W50" s="26"/>
    </row>
    <row r="51" ht="12.4" spans="23:23">
      <c r="W51" s="26"/>
    </row>
    <row r="52" ht="12.4" spans="23:23">
      <c r="W52" s="26"/>
    </row>
    <row r="53" ht="12.4" spans="23:23">
      <c r="W53" s="26"/>
    </row>
    <row r="54" ht="12.4" spans="23:23">
      <c r="W54" s="26"/>
    </row>
    <row r="55" ht="12.4" spans="23:23">
      <c r="W55" s="26"/>
    </row>
    <row r="56" ht="12.4" spans="23:23">
      <c r="W56" s="26"/>
    </row>
    <row r="57" ht="12.4" spans="23:23">
      <c r="W57" s="26"/>
    </row>
    <row r="58" ht="12.4" spans="23:23">
      <c r="W58" s="26"/>
    </row>
    <row r="59" ht="12.4" spans="23:23">
      <c r="W59" s="26"/>
    </row>
    <row r="60" ht="12.4" spans="23:23">
      <c r="W60" s="26"/>
    </row>
    <row r="61" ht="12.4" spans="23:23">
      <c r="W61" s="26"/>
    </row>
    <row r="62" ht="12.4" spans="23:23">
      <c r="W62" s="26"/>
    </row>
    <row r="63" ht="12.4" spans="23:23">
      <c r="W63" s="26"/>
    </row>
    <row r="64" ht="12.4" spans="23:23">
      <c r="W64" s="26"/>
    </row>
    <row r="65" ht="12.4" spans="23:23">
      <c r="W65" s="26"/>
    </row>
    <row r="66" ht="12.4" spans="23:23">
      <c r="W66" s="26"/>
    </row>
    <row r="67" ht="12.4" spans="23:23">
      <c r="W67" s="26"/>
    </row>
    <row r="68" ht="12.4" spans="23:23">
      <c r="W68" s="26"/>
    </row>
    <row r="69" ht="12.4" spans="23:23">
      <c r="W69" s="26"/>
    </row>
    <row r="70" ht="12.4" spans="23:23">
      <c r="W70" s="26"/>
    </row>
    <row r="71" ht="12.4" spans="23:23">
      <c r="W71" s="26"/>
    </row>
    <row r="72" ht="12.4" spans="23:23">
      <c r="W72" s="26"/>
    </row>
    <row r="73" ht="12.4" spans="23:23">
      <c r="W73" s="26"/>
    </row>
    <row r="74" ht="12.4" spans="23:23">
      <c r="W74" s="26"/>
    </row>
    <row r="75" ht="12.4" spans="23:23">
      <c r="W75" s="26"/>
    </row>
    <row r="76" ht="12.4" spans="23:23">
      <c r="W76" s="26"/>
    </row>
    <row r="77" ht="12.4" spans="23:23">
      <c r="W77" s="26"/>
    </row>
    <row r="78" ht="12.4" spans="23:23">
      <c r="W78" s="26"/>
    </row>
    <row r="79" ht="12.4" spans="23:23">
      <c r="W79" s="26"/>
    </row>
    <row r="80" ht="12.4" spans="23:23">
      <c r="W80" s="26"/>
    </row>
    <row r="81" ht="12.4" spans="23:23">
      <c r="W81" s="26"/>
    </row>
    <row r="82" ht="12.4" spans="23:23">
      <c r="W82" s="26"/>
    </row>
    <row r="83" ht="12.4" spans="23:23">
      <c r="W83" s="26"/>
    </row>
    <row r="84" ht="12.4" spans="23:23">
      <c r="W84" s="26"/>
    </row>
    <row r="85" ht="12.4" spans="23:23">
      <c r="W85" s="26"/>
    </row>
    <row r="86" ht="12.4" spans="23:23">
      <c r="W86" s="26"/>
    </row>
    <row r="87" ht="12.4" spans="23:23">
      <c r="W87" s="26"/>
    </row>
    <row r="88" ht="12.4" spans="23:23">
      <c r="W88" s="26"/>
    </row>
    <row r="89" ht="12.4" spans="23:23">
      <c r="W89" s="26"/>
    </row>
    <row r="90" ht="12.4" spans="23:23">
      <c r="W90" s="26"/>
    </row>
    <row r="91" ht="12.4" spans="23:23">
      <c r="W91" s="26"/>
    </row>
    <row r="92" ht="12.4" spans="23:23">
      <c r="W92" s="26"/>
    </row>
    <row r="93" ht="12.4" spans="23:23">
      <c r="W93" s="26"/>
    </row>
    <row r="94" ht="12.4" spans="23:23">
      <c r="W94" s="26"/>
    </row>
    <row r="95" ht="12.4" spans="23:23">
      <c r="W95" s="26"/>
    </row>
    <row r="96" ht="12.4" spans="23:23">
      <c r="W96" s="26"/>
    </row>
    <row r="97" ht="12.4" spans="23:23">
      <c r="W97" s="26"/>
    </row>
    <row r="98" ht="12.4" spans="23:23">
      <c r="W98" s="26"/>
    </row>
    <row r="99" ht="12.4" spans="23:23">
      <c r="W99" s="26"/>
    </row>
    <row r="100" ht="12.4" spans="23:23">
      <c r="W100" s="26"/>
    </row>
    <row r="101" ht="12.4" spans="23:23">
      <c r="W101" s="26"/>
    </row>
    <row r="102" ht="12.4" spans="23:23">
      <c r="W102" s="26"/>
    </row>
    <row r="103" ht="12.4" spans="23:23">
      <c r="W103" s="26"/>
    </row>
    <row r="104" ht="12.4" spans="23:23">
      <c r="W104" s="26"/>
    </row>
    <row r="105" ht="12.4" spans="23:23">
      <c r="W105" s="26"/>
    </row>
    <row r="106" ht="12.4" spans="23:23">
      <c r="W106" s="26"/>
    </row>
    <row r="107" ht="12.4" spans="23:23">
      <c r="W107" s="26"/>
    </row>
    <row r="108" ht="12.4" spans="23:23">
      <c r="W108" s="26"/>
    </row>
    <row r="109" ht="12.4" spans="23:23">
      <c r="W109" s="26"/>
    </row>
    <row r="110" ht="12.4" spans="23:23">
      <c r="W110" s="26"/>
    </row>
    <row r="111" ht="12.4" spans="23:23">
      <c r="W111" s="26"/>
    </row>
    <row r="112" ht="12.4" spans="23:23">
      <c r="W112" s="26"/>
    </row>
    <row r="113" ht="12.4" spans="23:23">
      <c r="W113" s="26"/>
    </row>
    <row r="114" ht="12.4" spans="23:23">
      <c r="W114" s="26"/>
    </row>
    <row r="115" ht="12.4" spans="23:23">
      <c r="W115" s="26"/>
    </row>
    <row r="116" ht="12.4" spans="23:23">
      <c r="W116" s="26"/>
    </row>
    <row r="117" ht="12.4" spans="23:23">
      <c r="W117" s="26"/>
    </row>
    <row r="118" ht="12.4" spans="23:23">
      <c r="W118" s="26"/>
    </row>
    <row r="119" ht="12.4" spans="23:23">
      <c r="W119" s="26"/>
    </row>
    <row r="120" ht="12.4" spans="23:23">
      <c r="W120" s="26"/>
    </row>
    <row r="121" ht="12.4" spans="23:23">
      <c r="W121" s="26"/>
    </row>
    <row r="122" ht="12.4" spans="23:23">
      <c r="W122" s="26"/>
    </row>
    <row r="123" ht="12.4" spans="23:23">
      <c r="W123" s="26"/>
    </row>
    <row r="124" ht="12.4" spans="23:23">
      <c r="W124" s="26"/>
    </row>
    <row r="125" ht="12.4" spans="23:23">
      <c r="W125" s="26"/>
    </row>
    <row r="126" ht="12.4" spans="23:23">
      <c r="W126" s="26"/>
    </row>
    <row r="127" ht="12.4" spans="23:23">
      <c r="W127" s="26"/>
    </row>
    <row r="128" ht="12.4" spans="23:23">
      <c r="W128" s="26"/>
    </row>
    <row r="129" ht="12.4" spans="23:23">
      <c r="W129" s="26"/>
    </row>
    <row r="130" ht="12.4" spans="23:23">
      <c r="W130" s="26"/>
    </row>
    <row r="131" ht="12.4" spans="23:23">
      <c r="W131" s="26"/>
    </row>
    <row r="132" ht="12.4" spans="23:23">
      <c r="W132" s="26"/>
    </row>
    <row r="133" ht="12.4" spans="23:23">
      <c r="W133" s="26"/>
    </row>
    <row r="134" ht="12.4" spans="23:23">
      <c r="W134" s="26"/>
    </row>
    <row r="135" ht="12.4" spans="23:23">
      <c r="W135" s="26"/>
    </row>
    <row r="136" ht="12.4" spans="23:23">
      <c r="W136" s="26"/>
    </row>
    <row r="137" ht="12.4" spans="23:23">
      <c r="W137" s="26"/>
    </row>
    <row r="138" ht="12.4" spans="23:23">
      <c r="W138" s="26"/>
    </row>
    <row r="139" ht="12.4" spans="23:23">
      <c r="W139" s="26"/>
    </row>
    <row r="140" ht="12.4" spans="23:23">
      <c r="W140" s="26"/>
    </row>
    <row r="141" ht="12.4" spans="23:23">
      <c r="W141" s="26"/>
    </row>
    <row r="142" ht="12.4" spans="23:23">
      <c r="W142" s="26"/>
    </row>
    <row r="143" ht="12.4" spans="23:23">
      <c r="W143" s="26"/>
    </row>
    <row r="144" ht="12.4" spans="23:23">
      <c r="W144" s="26"/>
    </row>
    <row r="145" ht="12.4" spans="23:23">
      <c r="W145" s="26"/>
    </row>
    <row r="146" ht="12.4" spans="23:23">
      <c r="W146" s="26"/>
    </row>
    <row r="147" ht="12.4" spans="23:23">
      <c r="W147" s="26"/>
    </row>
    <row r="148" ht="12.4" spans="23:23">
      <c r="W148" s="26"/>
    </row>
    <row r="149" ht="12.4" spans="23:23">
      <c r="W149" s="26"/>
    </row>
    <row r="150" ht="12.4" spans="23:23">
      <c r="W150" s="26"/>
    </row>
    <row r="151" ht="12.4" spans="23:23">
      <c r="W151" s="26"/>
    </row>
    <row r="152" ht="12.4" spans="23:23">
      <c r="W152" s="26"/>
    </row>
    <row r="153" ht="12.4" spans="23:23">
      <c r="W153" s="26"/>
    </row>
    <row r="154" ht="12.4" spans="23:23">
      <c r="W154" s="26"/>
    </row>
    <row r="155" ht="12.4" spans="23:23">
      <c r="W155" s="26"/>
    </row>
    <row r="156" ht="12.4" spans="23:23">
      <c r="W156" s="26"/>
    </row>
    <row r="157" ht="12.4" spans="23:23">
      <c r="W157" s="26"/>
    </row>
    <row r="158" ht="12.4" spans="23:23">
      <c r="W158" s="26"/>
    </row>
    <row r="159" ht="12.4" spans="23:23">
      <c r="W159" s="26"/>
    </row>
    <row r="160" ht="12.4" spans="23:23">
      <c r="W160" s="26"/>
    </row>
    <row r="161" ht="12.4" spans="23:23">
      <c r="W161" s="26"/>
    </row>
    <row r="162" ht="12.4" spans="23:23">
      <c r="W162" s="26"/>
    </row>
    <row r="163" ht="12.4" spans="23:23">
      <c r="W163" s="26"/>
    </row>
    <row r="164" ht="12.4" spans="23:23">
      <c r="W164" s="26"/>
    </row>
    <row r="165" ht="12.4" spans="23:23">
      <c r="W165" s="26"/>
    </row>
    <row r="166" ht="12.4" spans="23:23">
      <c r="W166" s="26"/>
    </row>
    <row r="167" ht="12.4" spans="23:23">
      <c r="W167" s="26"/>
    </row>
    <row r="168" ht="12.4" spans="23:23">
      <c r="W168" s="26"/>
    </row>
    <row r="169" ht="12.4" spans="23:23">
      <c r="W169" s="26"/>
    </row>
    <row r="170" ht="12.4" spans="23:23">
      <c r="W170" s="26"/>
    </row>
    <row r="171" ht="12.4" spans="23:23">
      <c r="W171" s="26"/>
    </row>
    <row r="172" ht="12.4" spans="23:23">
      <c r="W172" s="26"/>
    </row>
    <row r="173" ht="12.4" spans="23:23">
      <c r="W173" s="26"/>
    </row>
    <row r="174" ht="12.4" spans="23:23">
      <c r="W174" s="26"/>
    </row>
    <row r="175" ht="12.4" spans="23:23">
      <c r="W175" s="26"/>
    </row>
    <row r="176" ht="12.4" spans="23:23">
      <c r="W176" s="26"/>
    </row>
    <row r="177" ht="12.4" spans="23:23">
      <c r="W177" s="26"/>
    </row>
  </sheetData>
  <mergeCells count="4">
    <mergeCell ref="P1:R1"/>
    <mergeCell ref="A12:I12"/>
    <mergeCell ref="A5:A6"/>
    <mergeCell ref="A7:A8"/>
  </mergeCells>
  <dataValidations count="2">
    <dataValidation type="list" showInputMessage="1" showErrorMessage="1" sqref="F3:F11">
      <formula1>"应用服务器,中间件服务器,文件服务器,数据库服务器,"</formula1>
    </dataValidation>
    <dataValidation type="list" allowBlank="1" showInputMessage="1" showErrorMessage="1" sqref="W3:W1048576">
      <formula1>"标配,选配,"</formula1>
    </dataValidation>
  </dataValidations>
  <hyperlinks>
    <hyperlink ref="U3" r:id="rId1" display="网络检测：&#10;1.可请求互联网：https://dev.epoint.com.cn:5888/clouddev-web"/>
    <hyperlink ref="Q6" r:id="rId1" display="1、18080为eCloud客户端与服务端通信端口，即ecloud访问所有开设服务器的18080端口&#10;2、其余为应用端口"/>
    <hyperlink ref="Q8" r:id="rId1" display="1、18080为eCloud客户端与服务端通信端口，即ecloud访问所有开设服务器的18080端口&#10;2、其余为应用端口"/>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标准清单"/>
  <dimension ref="A1:W199"/>
  <sheetViews>
    <sheetView tabSelected="1" zoomScale="115" zoomScaleNormal="115" workbookViewId="0">
      <pane xSplit="2" ySplit="2" topLeftCell="E3" activePane="bottomRight" state="frozen"/>
      <selection/>
      <selection pane="topRight"/>
      <selection pane="bottomLeft"/>
      <selection pane="bottomRight" activeCell="E6" sqref="E6"/>
    </sheetView>
  </sheetViews>
  <sheetFormatPr defaultColWidth="14" defaultRowHeight="18" customHeight="1"/>
  <cols>
    <col min="5" max="5" width="54.9029126213592" customWidth="1"/>
    <col min="8" max="8" width="26.5728155339806" customWidth="1"/>
  </cols>
  <sheetData>
    <row r="1" ht="15.45" spans="1:23">
      <c r="A1" s="1"/>
      <c r="B1" s="1"/>
      <c r="C1" s="1"/>
      <c r="D1" s="1"/>
      <c r="E1" s="1"/>
      <c r="F1" s="1"/>
      <c r="G1" s="1"/>
      <c r="H1" s="1"/>
      <c r="I1" s="1"/>
      <c r="J1" s="1"/>
      <c r="K1" s="2" t="s">
        <v>0</v>
      </c>
      <c r="L1" s="3" t="s">
        <v>1</v>
      </c>
      <c r="M1" s="1"/>
      <c r="N1" s="1"/>
      <c r="O1" s="4"/>
      <c r="P1" s="5"/>
      <c r="Q1" s="6"/>
      <c r="R1" s="6"/>
      <c r="S1" s="1"/>
      <c r="T1" s="7"/>
      <c r="U1" s="7"/>
      <c r="V1" s="1"/>
      <c r="W1" s="1"/>
    </row>
    <row r="2" ht="30.85" spans="1:23">
      <c r="A2" s="8" t="s">
        <v>3</v>
      </c>
      <c r="B2" s="8" t="s">
        <v>4</v>
      </c>
      <c r="C2" s="8" t="s">
        <v>5</v>
      </c>
      <c r="D2" s="8" t="s">
        <v>6</v>
      </c>
      <c r="E2" s="8" t="s">
        <v>7</v>
      </c>
      <c r="F2" s="8" t="s">
        <v>8</v>
      </c>
      <c r="G2" s="8" t="s">
        <v>9</v>
      </c>
      <c r="H2" s="8" t="s">
        <v>10</v>
      </c>
      <c r="I2" s="8" t="s">
        <v>11</v>
      </c>
      <c r="J2" s="8" t="s">
        <v>12</v>
      </c>
      <c r="K2" s="8" t="s">
        <v>13</v>
      </c>
      <c r="L2" s="8" t="s">
        <v>13</v>
      </c>
      <c r="M2" s="8" t="s">
        <v>14</v>
      </c>
      <c r="N2" s="9" t="s">
        <v>15</v>
      </c>
      <c r="O2" s="9" t="s">
        <v>16</v>
      </c>
      <c r="P2" s="9" t="s">
        <v>17</v>
      </c>
      <c r="Q2" s="9" t="s">
        <v>18</v>
      </c>
      <c r="R2" s="9" t="s">
        <v>19</v>
      </c>
      <c r="S2" s="8" t="s">
        <v>20</v>
      </c>
      <c r="T2" s="10" t="s">
        <v>21</v>
      </c>
      <c r="U2" s="10" t="s">
        <v>22</v>
      </c>
      <c r="V2" s="11" t="s">
        <v>23</v>
      </c>
      <c r="W2" s="8" t="s">
        <v>24</v>
      </c>
    </row>
    <row r="3" ht="86.25" customHeight="1" spans="1:23">
      <c r="A3" s="12" t="s">
        <v>25</v>
      </c>
      <c r="B3" s="13" t="s">
        <v>26</v>
      </c>
      <c r="C3" s="13" t="s">
        <v>25</v>
      </c>
      <c r="D3" s="13" t="s">
        <v>27</v>
      </c>
      <c r="E3" s="13" t="s">
        <v>28</v>
      </c>
      <c r="F3" s="14" t="s">
        <v>29</v>
      </c>
      <c r="G3" s="12" t="s">
        <v>30</v>
      </c>
      <c r="H3" s="13" t="s">
        <v>52</v>
      </c>
      <c r="I3" s="12" t="s">
        <v>32</v>
      </c>
      <c r="J3" s="12">
        <v>1</v>
      </c>
      <c r="K3" s="12">
        <v>16</v>
      </c>
      <c r="L3" s="12">
        <f>K3*2</f>
        <v>32</v>
      </c>
      <c r="M3" s="12">
        <f>K3*2</f>
        <v>32</v>
      </c>
      <c r="N3" s="12">
        <v>1000</v>
      </c>
      <c r="O3" s="13"/>
      <c r="P3" s="13" t="s">
        <v>33</v>
      </c>
      <c r="Q3" s="13" t="s">
        <v>34</v>
      </c>
      <c r="R3" s="13" t="s">
        <v>35</v>
      </c>
      <c r="S3" s="12">
        <v>1000</v>
      </c>
      <c r="T3" s="12" t="s">
        <v>36</v>
      </c>
      <c r="U3" s="15" t="s">
        <v>37</v>
      </c>
      <c r="V3" s="12" t="s">
        <v>38</v>
      </c>
      <c r="W3" s="14" t="s">
        <v>39</v>
      </c>
    </row>
    <row r="4" ht="39.75" customHeight="1" spans="1:23">
      <c r="A4" s="12" t="s">
        <v>40</v>
      </c>
      <c r="B4" s="13" t="s">
        <v>41</v>
      </c>
      <c r="C4" s="13" t="s">
        <v>42</v>
      </c>
      <c r="D4" s="12" t="s">
        <v>27</v>
      </c>
      <c r="E4" s="13" t="s">
        <v>43</v>
      </c>
      <c r="F4" s="14" t="s">
        <v>44</v>
      </c>
      <c r="G4" s="12" t="s">
        <v>30</v>
      </c>
      <c r="H4" s="13" t="s">
        <v>52</v>
      </c>
      <c r="I4" s="12" t="s">
        <v>32</v>
      </c>
      <c r="J4" s="16">
        <v>1</v>
      </c>
      <c r="K4" s="12">
        <v>4</v>
      </c>
      <c r="L4" s="12">
        <f>K4*2</f>
        <v>8</v>
      </c>
      <c r="M4" s="12">
        <f>K4*2</f>
        <v>8</v>
      </c>
      <c r="N4" s="12">
        <v>300</v>
      </c>
      <c r="O4" s="13"/>
      <c r="P4" s="17" t="s">
        <v>87</v>
      </c>
      <c r="Q4" s="13"/>
      <c r="R4" s="13"/>
      <c r="S4" s="12">
        <v>1000</v>
      </c>
      <c r="T4" s="12"/>
      <c r="U4" s="12"/>
      <c r="V4" s="12" t="s">
        <v>38</v>
      </c>
      <c r="W4" s="14" t="s">
        <v>39</v>
      </c>
    </row>
    <row r="5" ht="67.5" customHeight="1" spans="1:23">
      <c r="A5" s="12" t="s">
        <v>88</v>
      </c>
      <c r="B5" s="13" t="s">
        <v>47</v>
      </c>
      <c r="C5" s="13" t="s">
        <v>89</v>
      </c>
      <c r="D5" s="13" t="s">
        <v>90</v>
      </c>
      <c r="E5" s="13" t="s">
        <v>91</v>
      </c>
      <c r="F5" s="14" t="s">
        <v>29</v>
      </c>
      <c r="G5" s="12" t="s">
        <v>51</v>
      </c>
      <c r="H5" s="13" t="s">
        <v>52</v>
      </c>
      <c r="I5" s="12" t="s">
        <v>32</v>
      </c>
      <c r="J5" s="12">
        <v>1</v>
      </c>
      <c r="K5" s="12">
        <v>8</v>
      </c>
      <c r="L5" s="12">
        <f>K5*2</f>
        <v>16</v>
      </c>
      <c r="M5" s="12">
        <f>K5*2</f>
        <v>16</v>
      </c>
      <c r="N5" s="12">
        <v>200</v>
      </c>
      <c r="O5" s="13" t="s">
        <v>53</v>
      </c>
      <c r="P5" s="13"/>
      <c r="Q5" s="13"/>
      <c r="R5" s="13"/>
      <c r="S5" s="12">
        <v>1000</v>
      </c>
      <c r="T5" s="12"/>
      <c r="U5" s="12"/>
      <c r="V5" s="12" t="s">
        <v>38</v>
      </c>
      <c r="W5" s="14" t="s">
        <v>39</v>
      </c>
    </row>
    <row r="6" ht="78.75" customHeight="1" spans="1:23">
      <c r="A6" s="18"/>
      <c r="B6" s="13" t="s">
        <v>92</v>
      </c>
      <c r="C6" s="13" t="s">
        <v>55</v>
      </c>
      <c r="D6" s="13" t="s">
        <v>56</v>
      </c>
      <c r="E6" s="13" t="s">
        <v>93</v>
      </c>
      <c r="F6" s="14" t="s">
        <v>29</v>
      </c>
      <c r="G6" s="12" t="s">
        <v>51</v>
      </c>
      <c r="H6" s="13" t="s">
        <v>52</v>
      </c>
      <c r="I6" s="12" t="s">
        <v>32</v>
      </c>
      <c r="J6" s="12">
        <v>1</v>
      </c>
      <c r="K6" s="12">
        <v>8</v>
      </c>
      <c r="L6" s="12">
        <f>K6*2</f>
        <v>16</v>
      </c>
      <c r="M6" s="12">
        <f>K6*2</f>
        <v>16</v>
      </c>
      <c r="N6" s="12">
        <v>200</v>
      </c>
      <c r="O6" s="13" t="s">
        <v>58</v>
      </c>
      <c r="P6" s="13" t="s">
        <v>59</v>
      </c>
      <c r="Q6" s="17" t="s">
        <v>60</v>
      </c>
      <c r="R6" s="13"/>
      <c r="S6" s="12">
        <v>1000</v>
      </c>
      <c r="T6" s="12"/>
      <c r="U6" s="12"/>
      <c r="V6" s="12" t="s">
        <v>38</v>
      </c>
      <c r="W6" s="14" t="s">
        <v>61</v>
      </c>
    </row>
    <row r="7" ht="64.5" customHeight="1" spans="1:23">
      <c r="A7" s="12" t="s">
        <v>62</v>
      </c>
      <c r="B7" s="13" t="s">
        <v>66</v>
      </c>
      <c r="C7" s="13" t="s">
        <v>67</v>
      </c>
      <c r="D7" s="13" t="s">
        <v>68</v>
      </c>
      <c r="E7" s="13" t="s">
        <v>69</v>
      </c>
      <c r="F7" s="14" t="s">
        <v>65</v>
      </c>
      <c r="G7" s="12" t="s">
        <v>30</v>
      </c>
      <c r="H7" s="13" t="s">
        <v>52</v>
      </c>
      <c r="I7" s="12" t="s">
        <v>32</v>
      </c>
      <c r="J7" s="12">
        <v>1</v>
      </c>
      <c r="K7" s="12">
        <v>8</v>
      </c>
      <c r="L7" s="12">
        <f>K7*2</f>
        <v>16</v>
      </c>
      <c r="M7" s="12">
        <f>K7*2</f>
        <v>16</v>
      </c>
      <c r="N7" s="12">
        <v>500</v>
      </c>
      <c r="O7" s="13"/>
      <c r="P7" s="13" t="s">
        <v>70</v>
      </c>
      <c r="Q7" s="17" t="s">
        <v>60</v>
      </c>
      <c r="R7" s="13"/>
      <c r="S7" s="12">
        <v>2000</v>
      </c>
      <c r="T7" s="12"/>
      <c r="U7" s="12"/>
      <c r="V7" s="12" t="s">
        <v>38</v>
      </c>
      <c r="W7" s="14" t="s">
        <v>39</v>
      </c>
    </row>
    <row r="8" ht="71.25" customHeight="1" spans="1:23">
      <c r="A8" s="12"/>
      <c r="B8" s="13" t="s">
        <v>94</v>
      </c>
      <c r="C8" s="13" t="s">
        <v>95</v>
      </c>
      <c r="D8" s="13" t="s">
        <v>96</v>
      </c>
      <c r="E8" s="13" t="s">
        <v>97</v>
      </c>
      <c r="F8" s="14" t="s">
        <v>65</v>
      </c>
      <c r="G8" s="12" t="s">
        <v>30</v>
      </c>
      <c r="H8" s="13" t="s">
        <v>52</v>
      </c>
      <c r="I8" s="12" t="s">
        <v>32</v>
      </c>
      <c r="J8" s="12">
        <v>1</v>
      </c>
      <c r="K8" s="12">
        <v>16</v>
      </c>
      <c r="L8" s="12">
        <v>32</v>
      </c>
      <c r="M8" s="12">
        <v>32</v>
      </c>
      <c r="N8" s="12">
        <v>500</v>
      </c>
      <c r="O8" s="13"/>
      <c r="P8" s="13"/>
      <c r="Q8" s="17"/>
      <c r="R8" s="13"/>
      <c r="S8" s="12"/>
      <c r="T8" s="12"/>
      <c r="U8" s="12"/>
      <c r="V8" s="12"/>
      <c r="W8" s="14"/>
    </row>
    <row r="9" ht="71.25" customHeight="1" spans="1:23">
      <c r="A9" s="12"/>
      <c r="B9" s="13" t="s">
        <v>63</v>
      </c>
      <c r="C9" s="13" t="s">
        <v>98</v>
      </c>
      <c r="D9" s="13"/>
      <c r="E9" s="13" t="s">
        <v>99</v>
      </c>
      <c r="F9" s="14" t="s">
        <v>65</v>
      </c>
      <c r="G9" s="12" t="s">
        <v>51</v>
      </c>
      <c r="H9" s="19" t="s">
        <v>31</v>
      </c>
      <c r="I9" s="12" t="s">
        <v>32</v>
      </c>
      <c r="J9" s="12">
        <v>1</v>
      </c>
      <c r="K9" s="12">
        <v>8</v>
      </c>
      <c r="L9" s="12">
        <v>16</v>
      </c>
      <c r="M9" s="12">
        <v>16</v>
      </c>
      <c r="N9" s="12">
        <v>500</v>
      </c>
      <c r="O9" s="13"/>
      <c r="P9" s="13"/>
      <c r="Q9" s="17"/>
      <c r="R9" s="13"/>
      <c r="S9" s="12">
        <v>2000</v>
      </c>
      <c r="T9" s="12"/>
      <c r="U9" s="12"/>
      <c r="V9" s="12" t="s">
        <v>38</v>
      </c>
      <c r="W9" s="14" t="s">
        <v>39</v>
      </c>
    </row>
    <row r="10" ht="71.25" customHeight="1" spans="1:23">
      <c r="A10" s="18"/>
      <c r="B10" s="13" t="s">
        <v>100</v>
      </c>
      <c r="C10" s="13" t="s">
        <v>101</v>
      </c>
      <c r="D10" s="13" t="s">
        <v>101</v>
      </c>
      <c r="E10" s="13" t="s">
        <v>102</v>
      </c>
      <c r="F10" s="14" t="s">
        <v>65</v>
      </c>
      <c r="G10" s="12" t="s">
        <v>30</v>
      </c>
      <c r="H10" s="13" t="s">
        <v>52</v>
      </c>
      <c r="I10" s="12" t="s">
        <v>32</v>
      </c>
      <c r="J10" s="12">
        <v>1</v>
      </c>
      <c r="K10" s="12">
        <v>8</v>
      </c>
      <c r="L10" s="12">
        <f>K10*2</f>
        <v>16</v>
      </c>
      <c r="M10" s="12">
        <f>K10*2</f>
        <v>16</v>
      </c>
      <c r="N10" s="12">
        <v>800</v>
      </c>
      <c r="O10" s="13"/>
      <c r="P10" s="13" t="s">
        <v>70</v>
      </c>
      <c r="Q10" s="20" t="s">
        <v>103</v>
      </c>
      <c r="R10" s="13"/>
      <c r="S10" s="12">
        <v>2000</v>
      </c>
      <c r="T10" s="12"/>
      <c r="U10" s="12"/>
      <c r="V10" s="12" t="s">
        <v>38</v>
      </c>
      <c r="W10" s="14" t="s">
        <v>39</v>
      </c>
    </row>
    <row r="11" ht="55.5" customHeight="1" spans="1:23">
      <c r="A11" s="12" t="s">
        <v>71</v>
      </c>
      <c r="B11" s="13" t="s">
        <v>72</v>
      </c>
      <c r="C11" s="13" t="s">
        <v>73</v>
      </c>
      <c r="D11" s="13" t="s">
        <v>73</v>
      </c>
      <c r="E11" s="20" t="s">
        <v>74</v>
      </c>
      <c r="F11" s="14" t="s">
        <v>65</v>
      </c>
      <c r="G11" s="12" t="s">
        <v>30</v>
      </c>
      <c r="H11" s="19" t="s">
        <v>31</v>
      </c>
      <c r="I11" s="12" t="s">
        <v>32</v>
      </c>
      <c r="J11" s="12">
        <v>1</v>
      </c>
      <c r="K11" s="12">
        <v>8</v>
      </c>
      <c r="L11" s="12">
        <f>K11*2</f>
        <v>16</v>
      </c>
      <c r="M11" s="12">
        <f>K11*2</f>
        <v>16</v>
      </c>
      <c r="N11" s="12">
        <v>500</v>
      </c>
      <c r="O11" s="13"/>
      <c r="P11" s="13" t="s">
        <v>73</v>
      </c>
      <c r="Q11" s="13"/>
      <c r="R11" s="13"/>
      <c r="S11" s="12">
        <v>1000</v>
      </c>
      <c r="T11" s="12"/>
      <c r="U11" s="12"/>
      <c r="V11" s="12" t="s">
        <v>38</v>
      </c>
      <c r="W11" s="14" t="s">
        <v>61</v>
      </c>
    </row>
    <row r="12" ht="54.85" spans="1:23">
      <c r="A12" s="12" t="s">
        <v>75</v>
      </c>
      <c r="B12" s="13" t="s">
        <v>76</v>
      </c>
      <c r="C12" s="13" t="s">
        <v>77</v>
      </c>
      <c r="D12" s="13" t="s">
        <v>78</v>
      </c>
      <c r="E12" s="13" t="s">
        <v>79</v>
      </c>
      <c r="F12" s="14" t="s">
        <v>29</v>
      </c>
      <c r="G12" s="12" t="s">
        <v>30</v>
      </c>
      <c r="H12" s="13" t="s">
        <v>52</v>
      </c>
      <c r="I12" s="12" t="s">
        <v>32</v>
      </c>
      <c r="J12" s="12">
        <v>1</v>
      </c>
      <c r="K12" s="12">
        <v>4</v>
      </c>
      <c r="L12" s="12">
        <f>K12*2</f>
        <v>8</v>
      </c>
      <c r="M12" s="12">
        <v>4</v>
      </c>
      <c r="N12" s="12">
        <v>1000</v>
      </c>
      <c r="O12" s="13"/>
      <c r="P12" s="19">
        <v>873</v>
      </c>
      <c r="Q12" s="13"/>
      <c r="R12" s="13"/>
      <c r="S12" s="12">
        <v>1000</v>
      </c>
      <c r="T12" s="12"/>
      <c r="U12" s="12"/>
      <c r="V12" s="12" t="s">
        <v>38</v>
      </c>
      <c r="W12" s="14" t="s">
        <v>39</v>
      </c>
    </row>
    <row r="13" ht="68.55" spans="1:23">
      <c r="A13" s="16" t="s">
        <v>80</v>
      </c>
      <c r="B13" s="13" t="s">
        <v>81</v>
      </c>
      <c r="C13" s="13" t="s">
        <v>82</v>
      </c>
      <c r="D13" s="13" t="s">
        <v>78</v>
      </c>
      <c r="E13" s="13" t="s">
        <v>83</v>
      </c>
      <c r="F13" s="14" t="s">
        <v>29</v>
      </c>
      <c r="G13" s="16" t="s">
        <v>73</v>
      </c>
      <c r="H13" s="21" t="s">
        <v>84</v>
      </c>
      <c r="I13" s="16" t="s">
        <v>32</v>
      </c>
      <c r="J13" s="16">
        <v>1</v>
      </c>
      <c r="K13" s="16">
        <v>4</v>
      </c>
      <c r="L13" s="16">
        <f>K13*2</f>
        <v>8</v>
      </c>
      <c r="M13" s="16">
        <v>4</v>
      </c>
      <c r="N13" s="16">
        <v>300</v>
      </c>
      <c r="O13" s="21"/>
      <c r="P13" s="21" t="s">
        <v>85</v>
      </c>
      <c r="Q13" s="21"/>
      <c r="R13" s="21"/>
      <c r="S13" s="16">
        <v>1000</v>
      </c>
      <c r="T13" s="16"/>
      <c r="U13" s="16"/>
      <c r="V13" s="16" t="s">
        <v>38</v>
      </c>
      <c r="W13" s="22" t="s">
        <v>61</v>
      </c>
    </row>
    <row r="14" ht="12.4" spans="1:23">
      <c r="A14" s="23" t="s">
        <v>86</v>
      </c>
      <c r="B14" s="18"/>
      <c r="C14" s="18"/>
      <c r="D14" s="18"/>
      <c r="E14" s="18"/>
      <c r="F14" s="18"/>
      <c r="G14" s="18"/>
      <c r="H14" s="18"/>
      <c r="I14" s="18"/>
      <c r="J14" s="24">
        <f>SUM(J3:J13)</f>
        <v>11</v>
      </c>
      <c r="K14" s="24">
        <f>SUM(K3:K13)</f>
        <v>92</v>
      </c>
      <c r="L14" s="24">
        <f>SUM(L3:L13)</f>
        <v>184</v>
      </c>
      <c r="M14" s="24">
        <f>SUM(M3:M13)</f>
        <v>176</v>
      </c>
      <c r="N14" s="24">
        <f>SUM(N3:N13)</f>
        <v>5800</v>
      </c>
      <c r="O14" s="24"/>
      <c r="P14" s="24"/>
      <c r="Q14" s="24"/>
      <c r="R14" s="24"/>
      <c r="S14" s="24"/>
      <c r="T14" s="24"/>
      <c r="U14" s="24"/>
      <c r="V14" s="24"/>
      <c r="W14" s="25"/>
    </row>
    <row r="15" ht="12.4" spans="1:23">
      <c r="W15" s="26"/>
    </row>
    <row r="16" ht="12.4" spans="1:23">
      <c r="W16" s="26"/>
    </row>
    <row r="17" ht="12.4" spans="23:23">
      <c r="W17" s="26"/>
    </row>
    <row r="18" ht="12.4" spans="23:23">
      <c r="W18" s="26"/>
    </row>
    <row r="19" ht="12.4" spans="23:23">
      <c r="W19" s="26"/>
    </row>
    <row r="20" ht="12.4" spans="23:23">
      <c r="W20" s="26"/>
    </row>
    <row r="21" ht="12.4" spans="23:23">
      <c r="W21" s="26"/>
    </row>
    <row r="22" ht="12.4" spans="23:23">
      <c r="W22" s="26"/>
    </row>
    <row r="23" ht="12.4" spans="23:23">
      <c r="W23" s="26"/>
    </row>
    <row r="24" ht="12.4" spans="23:23">
      <c r="W24" s="26"/>
    </row>
    <row r="25" ht="12.4" spans="23:23">
      <c r="W25" s="26"/>
    </row>
    <row r="26" ht="12.4" spans="23:23">
      <c r="W26" s="26"/>
    </row>
    <row r="27" ht="12.4" spans="23:23">
      <c r="W27" s="26"/>
    </row>
    <row r="28" ht="12.4" spans="23:23">
      <c r="W28" s="26"/>
    </row>
    <row r="29" ht="12.4" spans="23:23">
      <c r="W29" s="26"/>
    </row>
    <row r="30" ht="12.4" spans="23:23">
      <c r="W30" s="26"/>
    </row>
    <row r="31" ht="12.4" spans="23:23">
      <c r="W31" s="26"/>
    </row>
    <row r="32" ht="12.4" spans="23:23">
      <c r="W32" s="26"/>
    </row>
    <row r="33" ht="12.4" spans="23:23">
      <c r="W33" s="26"/>
    </row>
    <row r="34" ht="12.4" spans="23:23">
      <c r="W34" s="26"/>
    </row>
    <row r="35" ht="12.4" spans="23:23">
      <c r="W35" s="26"/>
    </row>
    <row r="36" ht="12.4" spans="23:23">
      <c r="W36" s="26"/>
    </row>
    <row r="37" ht="12.4" spans="23:23">
      <c r="W37" s="26"/>
    </row>
    <row r="38" ht="12.4" spans="23:23">
      <c r="W38" s="26"/>
    </row>
    <row r="39" ht="12.4" spans="23:23">
      <c r="W39" s="26"/>
    </row>
    <row r="40" ht="12.4" spans="23:23">
      <c r="W40" s="26"/>
    </row>
    <row r="41" ht="12.4" spans="23:23">
      <c r="W41" s="26"/>
    </row>
    <row r="42" ht="12.4" spans="23:23">
      <c r="W42" s="26"/>
    </row>
    <row r="43" ht="12.4" spans="23:23">
      <c r="W43" s="26"/>
    </row>
    <row r="44" ht="12.4" spans="23:23">
      <c r="W44" s="26"/>
    </row>
    <row r="45" ht="12.4" spans="23:23">
      <c r="W45" s="26"/>
    </row>
    <row r="46" ht="12.4" spans="23:23">
      <c r="W46" s="26"/>
    </row>
    <row r="47" ht="12.4" spans="23:23">
      <c r="W47" s="26"/>
    </row>
    <row r="48" ht="12.4" spans="23:23">
      <c r="W48" s="26"/>
    </row>
    <row r="49" ht="12.4" spans="23:23">
      <c r="W49" s="26"/>
    </row>
    <row r="50" ht="12.4" spans="23:23">
      <c r="W50" s="26"/>
    </row>
    <row r="51" ht="12.4" spans="23:23">
      <c r="W51" s="26"/>
    </row>
    <row r="52" ht="12.4" spans="23:23">
      <c r="W52" s="26"/>
    </row>
    <row r="53" ht="12.4" spans="23:23">
      <c r="W53" s="26"/>
    </row>
    <row r="54" ht="12.4" spans="23:23">
      <c r="W54" s="26"/>
    </row>
    <row r="55" ht="12.4" spans="23:23">
      <c r="W55" s="26"/>
    </row>
    <row r="56" ht="12.4" spans="23:23">
      <c r="W56" s="26"/>
    </row>
    <row r="57" ht="12.4" spans="23:23">
      <c r="W57" s="26"/>
    </row>
    <row r="58" ht="12.4" spans="23:23">
      <c r="W58" s="26"/>
    </row>
    <row r="59" ht="12.4" spans="23:23">
      <c r="W59" s="26"/>
    </row>
    <row r="60" ht="12.4" spans="23:23">
      <c r="W60" s="26"/>
    </row>
    <row r="61" ht="12.4" spans="23:23">
      <c r="W61" s="26"/>
    </row>
    <row r="62" ht="12.4" spans="23:23">
      <c r="W62" s="26"/>
    </row>
    <row r="63" ht="12.4" spans="23:23">
      <c r="W63" s="26"/>
    </row>
    <row r="64" ht="12.4" spans="23:23">
      <c r="W64" s="26"/>
    </row>
    <row r="65" ht="12.4" spans="23:23">
      <c r="W65" s="26"/>
    </row>
    <row r="66" ht="12.4" spans="23:23">
      <c r="W66" s="26"/>
    </row>
    <row r="67" ht="12.4" spans="23:23">
      <c r="W67" s="26"/>
    </row>
    <row r="68" ht="12.4" spans="23:23">
      <c r="W68" s="26"/>
    </row>
    <row r="69" ht="12.4" spans="23:23">
      <c r="W69" s="26"/>
    </row>
    <row r="70" ht="12.4" spans="23:23">
      <c r="W70" s="26"/>
    </row>
    <row r="71" ht="12.4" spans="23:23">
      <c r="W71" s="26"/>
    </row>
    <row r="72" ht="12.4" spans="23:23">
      <c r="W72" s="26"/>
    </row>
    <row r="73" ht="12.4" spans="23:23">
      <c r="W73" s="26"/>
    </row>
    <row r="74" ht="12.4" spans="23:23">
      <c r="W74" s="26"/>
    </row>
    <row r="75" ht="12.4" spans="23:23">
      <c r="W75" s="26"/>
    </row>
    <row r="76" ht="12.4" spans="23:23">
      <c r="W76" s="26"/>
    </row>
    <row r="77" ht="12.4" spans="23:23">
      <c r="W77" s="26"/>
    </row>
    <row r="78" ht="12.4" spans="23:23">
      <c r="W78" s="26"/>
    </row>
    <row r="79" ht="12.4" spans="23:23">
      <c r="W79" s="26"/>
    </row>
    <row r="80" ht="12.4" spans="23:23">
      <c r="W80" s="26"/>
    </row>
    <row r="81" ht="12.4" spans="23:23">
      <c r="W81" s="26"/>
    </row>
    <row r="82" ht="12.4" spans="23:23">
      <c r="W82" s="26"/>
    </row>
    <row r="83" ht="12.4" spans="23:23">
      <c r="W83" s="26"/>
    </row>
    <row r="84" ht="12.4" spans="23:23">
      <c r="W84" s="26"/>
    </row>
    <row r="85" ht="12.4" spans="23:23">
      <c r="W85" s="26"/>
    </row>
    <row r="86" ht="12.4" spans="23:23">
      <c r="W86" s="26"/>
    </row>
    <row r="87" ht="12.4" spans="23:23">
      <c r="W87" s="26"/>
    </row>
    <row r="88" ht="12.4" spans="23:23">
      <c r="W88" s="26"/>
    </row>
    <row r="89" ht="12.4" spans="23:23">
      <c r="W89" s="26"/>
    </row>
    <row r="90" ht="12.4" spans="23:23">
      <c r="W90" s="26"/>
    </row>
    <row r="91" ht="12.4" spans="23:23">
      <c r="W91" s="26"/>
    </row>
    <row r="92" ht="12.4" spans="23:23">
      <c r="W92" s="26"/>
    </row>
    <row r="93" ht="12.4" spans="23:23">
      <c r="W93" s="26"/>
    </row>
    <row r="94" ht="12.4" spans="23:23">
      <c r="W94" s="26"/>
    </row>
    <row r="95" ht="12.4" spans="23:23">
      <c r="W95" s="26"/>
    </row>
    <row r="96" ht="12.4" spans="23:23">
      <c r="W96" s="26"/>
    </row>
    <row r="97" ht="12.4" spans="23:23">
      <c r="W97" s="26"/>
    </row>
    <row r="98" ht="12.4" spans="23:23">
      <c r="W98" s="26"/>
    </row>
    <row r="99" ht="12.4" spans="23:23">
      <c r="W99" s="26"/>
    </row>
    <row r="100" ht="12.4" spans="23:23">
      <c r="W100" s="26"/>
    </row>
    <row r="101" ht="12.4" spans="23:23">
      <c r="W101" s="26"/>
    </row>
    <row r="102" ht="12.4" spans="23:23">
      <c r="W102" s="26"/>
    </row>
    <row r="103" ht="12.4" spans="23:23">
      <c r="W103" s="26"/>
    </row>
    <row r="104" ht="12.4" spans="23:23">
      <c r="W104" s="26"/>
    </row>
    <row r="105" ht="12.4" spans="23:23">
      <c r="W105" s="26"/>
    </row>
    <row r="106" ht="12.4" spans="23:23">
      <c r="W106" s="26"/>
    </row>
    <row r="107" ht="12.4" spans="23:23">
      <c r="W107" s="26"/>
    </row>
    <row r="108" ht="12.4" spans="23:23">
      <c r="W108" s="26"/>
    </row>
    <row r="109" ht="12.4" spans="23:23">
      <c r="W109" s="26"/>
    </row>
    <row r="110" ht="12.4" spans="23:23">
      <c r="W110" s="26"/>
    </row>
    <row r="111" ht="12.4" spans="23:23">
      <c r="W111" s="26"/>
    </row>
    <row r="112" ht="12.4" spans="23:23">
      <c r="W112" s="26"/>
    </row>
    <row r="113" ht="12.4" spans="23:23">
      <c r="W113" s="26"/>
    </row>
    <row r="114" ht="12.4" spans="23:23">
      <c r="W114" s="26"/>
    </row>
    <row r="115" ht="12.4" spans="23:23">
      <c r="W115" s="26"/>
    </row>
    <row r="116" ht="12.4" spans="23:23">
      <c r="W116" s="26"/>
    </row>
    <row r="117" ht="12.4" spans="23:23">
      <c r="W117" s="26"/>
    </row>
    <row r="118" ht="12.4" spans="23:23">
      <c r="W118" s="26"/>
    </row>
    <row r="119" ht="12.4" spans="23:23">
      <c r="W119" s="26"/>
    </row>
    <row r="120" ht="12.4" spans="23:23">
      <c r="W120" s="26"/>
    </row>
    <row r="121" ht="12.4" spans="23:23">
      <c r="W121" s="26"/>
    </row>
    <row r="122" ht="12.4" spans="23:23">
      <c r="W122" s="26"/>
    </row>
    <row r="123" ht="12.4" spans="23:23">
      <c r="W123" s="26"/>
    </row>
    <row r="124" ht="12.4" spans="23:23">
      <c r="W124" s="26"/>
    </row>
    <row r="125" ht="12.4" spans="23:23">
      <c r="W125" s="26"/>
    </row>
    <row r="126" ht="12.4" spans="23:23">
      <c r="W126" s="26"/>
    </row>
    <row r="127" ht="12.4" spans="23:23">
      <c r="W127" s="26"/>
    </row>
    <row r="128" ht="12.4" spans="23:23">
      <c r="W128" s="26"/>
    </row>
    <row r="129" ht="12.4" spans="23:23">
      <c r="W129" s="26"/>
    </row>
    <row r="130" ht="12.4" spans="23:23">
      <c r="W130" s="26"/>
    </row>
    <row r="131" ht="12.4" spans="23:23">
      <c r="W131" s="26"/>
    </row>
    <row r="132" ht="12.4" spans="23:23">
      <c r="W132" s="26"/>
    </row>
    <row r="133" ht="12.4" spans="23:23">
      <c r="W133" s="26"/>
    </row>
    <row r="134" ht="12.4" spans="23:23">
      <c r="W134" s="26"/>
    </row>
    <row r="135" ht="12.4" spans="23:23">
      <c r="W135" s="26"/>
    </row>
    <row r="136" ht="12.4" spans="23:23">
      <c r="W136" s="26"/>
    </row>
    <row r="137" ht="12.4" spans="23:23">
      <c r="W137" s="26"/>
    </row>
    <row r="138" ht="12.4" spans="23:23">
      <c r="W138" s="26"/>
    </row>
    <row r="139" ht="12.4" spans="23:23">
      <c r="W139" s="26"/>
    </row>
    <row r="140" ht="12.4" spans="23:23">
      <c r="W140" s="26"/>
    </row>
    <row r="141" ht="12.4" spans="23:23">
      <c r="W141" s="26"/>
    </row>
    <row r="142" ht="12.4" spans="23:23">
      <c r="W142" s="26"/>
    </row>
    <row r="143" ht="12.4" spans="23:23">
      <c r="W143" s="26"/>
    </row>
    <row r="144" ht="12.4" spans="23:23">
      <c r="W144" s="26"/>
    </row>
    <row r="145" ht="12.4" spans="23:23">
      <c r="W145" s="26"/>
    </row>
    <row r="146" ht="12.4" spans="23:23">
      <c r="W146" s="26"/>
    </row>
    <row r="147" ht="12.4" spans="23:23">
      <c r="W147" s="26"/>
    </row>
    <row r="148" ht="12.4" spans="23:23">
      <c r="W148" s="26"/>
    </row>
    <row r="149" ht="12.4" spans="23:23">
      <c r="W149" s="26"/>
    </row>
    <row r="150" ht="12.4" spans="23:23">
      <c r="W150" s="26"/>
    </row>
    <row r="151" ht="12.4" spans="23:23">
      <c r="W151" s="26"/>
    </row>
    <row r="152" ht="12.4" spans="23:23">
      <c r="W152" s="26"/>
    </row>
    <row r="153" ht="12.4" spans="23:23">
      <c r="W153" s="26"/>
    </row>
    <row r="154" ht="12.4" spans="23:23">
      <c r="W154" s="26"/>
    </row>
    <row r="155" ht="12.4" spans="23:23">
      <c r="W155" s="26"/>
    </row>
    <row r="156" ht="12.4" spans="23:23">
      <c r="W156" s="26"/>
    </row>
    <row r="157" ht="12.4" spans="23:23">
      <c r="W157" s="26"/>
    </row>
    <row r="158" ht="12.4" spans="23:23">
      <c r="W158" s="26"/>
    </row>
    <row r="159" ht="12.4" spans="23:23">
      <c r="W159" s="26"/>
    </row>
    <row r="160" ht="12.4" spans="23:23">
      <c r="W160" s="26"/>
    </row>
    <row r="161" ht="12.4" spans="23:23">
      <c r="W161" s="26"/>
    </row>
    <row r="162" ht="12.4" spans="23:23">
      <c r="W162" s="26"/>
    </row>
    <row r="163" ht="12.4" spans="23:23">
      <c r="W163" s="26"/>
    </row>
    <row r="164" ht="12.4" spans="23:23">
      <c r="W164" s="26"/>
    </row>
    <row r="165" ht="12.4" spans="23:23">
      <c r="W165" s="26"/>
    </row>
    <row r="166" ht="12.4" spans="23:23">
      <c r="W166" s="26"/>
    </row>
    <row r="167" ht="12.4" spans="23:23">
      <c r="W167" s="26"/>
    </row>
    <row r="168" ht="12.4" spans="23:23">
      <c r="W168" s="26"/>
    </row>
    <row r="169" ht="12.4" spans="23:23">
      <c r="W169" s="26"/>
    </row>
    <row r="170" ht="12.4" spans="23:23">
      <c r="W170" s="26"/>
    </row>
    <row r="171" ht="12.4" spans="23:23">
      <c r="W171" s="26"/>
    </row>
    <row r="172" ht="12.4" spans="23:23">
      <c r="W172" s="26"/>
    </row>
    <row r="173" ht="12.4" spans="23:23">
      <c r="W173" s="26"/>
    </row>
    <row r="174" ht="12.4" spans="23:23">
      <c r="W174" s="26"/>
    </row>
    <row r="175" ht="12.4" spans="23:23">
      <c r="W175" s="26"/>
    </row>
    <row r="176" ht="12.4" spans="23:23">
      <c r="W176" s="26"/>
    </row>
    <row r="177" ht="12.4" spans="23:23">
      <c r="W177" s="26"/>
    </row>
    <row r="178" ht="12.4" spans="23:23">
      <c r="W178" s="26"/>
    </row>
    <row r="179" ht="12.4" spans="23:23">
      <c r="W179" s="26"/>
    </row>
    <row r="180" ht="12.4" spans="23:23">
      <c r="W180" s="26"/>
    </row>
    <row r="181" ht="12.4" spans="23:23">
      <c r="W181" s="26"/>
    </row>
    <row r="182" ht="12.4" spans="23:23">
      <c r="W182" s="26"/>
    </row>
    <row r="183" ht="12.4" spans="23:23">
      <c r="W183" s="26"/>
    </row>
    <row r="184" ht="12.4" spans="23:23">
      <c r="W184" s="26"/>
    </row>
    <row r="185" ht="12.4" spans="23:23">
      <c r="W185" s="26"/>
    </row>
    <row r="186" ht="12.4" spans="23:23">
      <c r="W186" s="26"/>
    </row>
    <row r="187" ht="12.4" spans="23:23">
      <c r="W187" s="26"/>
    </row>
    <row r="188" ht="12.4" spans="23:23">
      <c r="W188" s="26"/>
    </row>
    <row r="189" ht="12.4" spans="23:23">
      <c r="W189" s="26"/>
    </row>
    <row r="190" ht="12.4" spans="23:23">
      <c r="W190" s="26"/>
    </row>
    <row r="191" ht="12.4" spans="23:23">
      <c r="W191" s="26"/>
    </row>
    <row r="192" ht="12.4" spans="23:23">
      <c r="W192" s="26"/>
    </row>
    <row r="193" ht="12.4" spans="23:23">
      <c r="W193" s="26"/>
    </row>
    <row r="194" ht="12.4" spans="23:23">
      <c r="W194" s="26"/>
    </row>
    <row r="195" ht="12.4" spans="23:23">
      <c r="W195" s="26"/>
    </row>
    <row r="196" ht="12.4" spans="23:23">
      <c r="W196" s="26"/>
    </row>
    <row r="197" ht="12.4" spans="23:23">
      <c r="W197" s="26"/>
    </row>
    <row r="198" ht="12.4" spans="23:23">
      <c r="W198" s="26"/>
    </row>
    <row r="199" ht="12.4" spans="23:23">
      <c r="W199" s="26"/>
    </row>
  </sheetData>
  <mergeCells count="4">
    <mergeCell ref="P1:R1"/>
    <mergeCell ref="A14:I14"/>
    <mergeCell ref="A5:A6"/>
    <mergeCell ref="A7:A10"/>
  </mergeCells>
  <dataValidations count="2">
    <dataValidation type="list" showInputMessage="1" showErrorMessage="1" sqref="F3:F13">
      <formula1>"应用服务器,中间件服务器,文件服务器,数据库服务器,"</formula1>
    </dataValidation>
    <dataValidation type="list" allowBlank="1" showInputMessage="1" showErrorMessage="1" sqref="W3:W1048576">
      <formula1>"标配,选配,"</formula1>
    </dataValidation>
  </dataValidations>
  <hyperlinks>
    <hyperlink ref="U3" r:id="rId1" display="网络检测：&#10;1.可请求互联网：https://dev.epoint.com.cn:5888/clouddev-web"/>
    <hyperlink ref="P4" r:id="rId1" display="tcp：111、30001、30002、&#10;30003、30004、2049&#10;udp：111"/>
    <hyperlink ref="Q6" r:id="rId1" display="1、18080为eCloud客户端与服务端通信端口，即ecloud访问所有开设服务器的18080端口&#10;2、其余为应用端口"/>
    <hyperlink ref="Q7" r:id="rId1" display="1、18080为eCloud客户端与服务端通信端口，即ecloud访问所有开设服务器的18080端口&#10;2、其余为应用端口"/>
    <hyperlink ref="Q10" r:id="rId1" display="1、18080为eCloud客户端与服务端通信端口，即ecloud访问所有开设服务器的18080端口&#10;2、其余为应用端口"/>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最小化清单</vt:lpstr>
      <vt:lpstr>标准清单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陈海勇</cp:lastModifiedBy>
  <dcterms:created xsi:type="dcterms:W3CDTF">2026-04-20T16:28:00Z</dcterms:created>
  <dcterms:modified xsi:type="dcterms:W3CDTF">2026-05-12T07:56:41Z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C0ABFEEAE02F43F0BDE7599262DE7D3C_12</vt:lpwstr>
  </property>
  <property fmtid="{D5CDD505-2E9C-101B-9397-08002B2CF9AE}" pid="3" name="KSOProductBuildVer">
    <vt:lpwstr>2052-12.1.0.25865</vt:lpwstr>
  </property>
  <property fmtid="{D5CDD505-2E9C-101B-9397-08002B2CF9AE}" pid="4" name="CalculationRule">
    <vt:i4>0</vt:i4>
  </property>
</Properties>
</file>