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05" windowHeight="11468"/>
  </bookViews>
  <sheets>
    <sheet name="国产化 _招采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<sst xmlns="http://schemas.openxmlformats.org/spreadsheetml/2006/main" count="196" uniqueCount="76">
  <si>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</si>
  <si>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</si>
  <si>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</si>
  <si>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</si>
  <si>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</si>
  <si>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</si>
  <si>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</si>
  <si>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</si>
  <si>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</si>
  <si>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</si>
  <si>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</si>
  <si>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</si>
  <si>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</si>
  <si>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Pass平台</t>
  </si>
  <si>
    <t>eCloud、Docker仓库</t>
  </si>
  <si>
    <t>openEuler</t>
  </si>
  <si>
    <t>虚拟机/实体机</t>
  </si>
  <si>
    <t>16</t>
  </si>
  <si>
    <t>服务端：5044、8080、443、3690，客户端：18080端口</t>
  </si>
  <si>
    <t>标配非集群</t>
  </si>
  <si>
    <t>应用服务器</t>
  </si>
  <si>
    <t>交易系统</t>
  </si>
  <si>
    <t>统一认证系统、保证金平台、主体库</t>
  </si>
  <si>
    <t>18080、8080、8050、8093</t>
  </si>
  <si>
    <t>中心端、会员端、接口服务、招标文件制作软件</t>
  </si>
  <si>
    <t>18080、8080、8081、8082、8083</t>
  </si>
  <si>
    <t>评标系统</t>
  </si>
  <si>
    <t>18080、8091</t>
  </si>
  <si>
    <t>暗标清标服务、视频会议</t>
  </si>
  <si>
    <t>18080、8019、5001</t>
  </si>
  <si>
    <t>不见面开标</t>
  </si>
  <si>
    <t>开标大厅、直播视频下载程序、直播推流程序</t>
  </si>
  <si>
    <t>18080、8090、socketIO：8099、8093</t>
  </si>
  <si>
    <t>门户网站</t>
  </si>
  <si>
    <t>前台web动态处理服务、静态化生成服务、网站es</t>
  </si>
  <si>
    <t>18080、8081、8082、9200</t>
  </si>
  <si>
    <t>网站大师后台管理、智能检索后台</t>
  </si>
  <si>
    <t>8</t>
  </si>
  <si>
    <t>18080、8083、8084</t>
  </si>
  <si>
    <t>支撑服务</t>
  </si>
  <si>
    <t>Java支撑服务(评标)、Java支撑服务(业务)</t>
  </si>
  <si>
    <t>200</t>
  </si>
  <si>
    <t>18080、8085</t>
  </si>
  <si>
    <t>Windows框架支撑服务（业务、评标）</t>
  </si>
  <si>
    <t>Windows 2016 server 中文标准版（X64，10用户）</t>
  </si>
  <si>
    <t>10000、10001</t>
  </si>
  <si>
    <t>任务调度服务</t>
  </si>
  <si>
    <t>公用组件</t>
  </si>
  <si>
    <t>nginx</t>
  </si>
  <si>
    <t>18080、80、443</t>
  </si>
  <si>
    <t>中间件服务器</t>
  </si>
  <si>
    <t>redis、rabbitmq</t>
  </si>
  <si>
    <t>18080、6379、5671、5672、15672、1883、1882</t>
  </si>
  <si>
    <t>数据库</t>
  </si>
  <si>
    <t>数据库（达梦）</t>
  </si>
  <si>
    <t>数据库服务器</t>
  </si>
  <si>
    <t>文件服务器</t>
  </si>
  <si>
    <t>2049、30001~30004、111</t>
  </si>
  <si>
    <t>文件备份服务器</t>
  </si>
  <si>
    <t>测试系统</t>
  </si>
  <si>
    <t>统一认证系统、中心端、会员端</t>
  </si>
  <si>
    <t>18080、8080、8081、8085</t>
  </si>
  <si>
    <t>接口服务、招标文件制作软件、任务调度服务、JAVA框架支撑服务(业务)、移动应用平台、H5服务</t>
  </si>
  <si>
    <t>18080、8093、8090、8036、8081、8085</t>
  </si>
  <si>
    <t>评标</t>
  </si>
  <si>
    <t>评标系统、暗标清标服务、JAVA框架支撑服务(评标)、视频会议</t>
  </si>
  <si>
    <t>18080、8091、8089、8085、5000、5001</t>
  </si>
  <si>
    <t>开标大厅</t>
  </si>
  <si>
    <t>18080、8090、socketIO：8099、8086、8093</t>
  </si>
  <si>
    <t>网站大师后台管理、静态化生成服务、前台web动态处理服务</t>
  </si>
  <si>
    <t>18080、8081、8082、8083</t>
  </si>
  <si>
    <t>智能检索后台、ES组件</t>
  </si>
  <si>
    <t>18080、8084、9200</t>
  </si>
  <si>
    <t>框架支撑服务</t>
  </si>
  <si>
    <t>nginx、redis、rabbitmq</t>
  </si>
  <si>
    <t>18080、80、443、6379、5671、5672、15672、1883、1882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</si>
</sst>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115" zoomScaleNormal="115" topLeftCell="A13" workbookViewId="0">
      <selection activeCell="D18" sqref="D18"/>
    </sheetView>
  </sheetViews>
  <sheetFormatPr defaultColWidth="8.61261261261261" defaultRowHeight="14.1"/>
  <cols>
    <col min="3" max="3" width="16.5225225225225" customWidth="1"/>
    <col min="4" max="4" width="27.7297297297297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  <col min="13" max="13" width="14.5675675675676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9.7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16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24.85" spans="1:12">
      <c r="A3" s="4">
        <v>2</v>
      </c>
      <c r="B3" s="6"/>
      <c r="C3" s="5" t="s">
        <v>21</v>
      </c>
      <c r="D3" s="5" t="s">
        <v>22</v>
      </c>
      <c r="E3" s="5" t="s">
        <v>15</v>
      </c>
      <c r="F3" s="5" t="s">
        <v>16</v>
      </c>
      <c r="G3" s="5">
        <v>8</v>
      </c>
      <c r="H3" s="5">
        <v>8</v>
      </c>
      <c r="I3" s="5">
        <v>200</v>
      </c>
      <c r="J3" s="5" t="s">
        <v>23</v>
      </c>
      <c r="K3" s="5" t="s">
        <v>19</v>
      </c>
      <c r="L3" s="5" t="s">
        <v>20</v>
      </c>
    </row>
    <row r="4" ht="37.3" spans="1:12">
      <c r="A4" s="4">
        <v>3</v>
      </c>
      <c r="B4" s="6"/>
      <c r="C4" s="5"/>
      <c r="D4" s="7" t="s">
        <v>24</v>
      </c>
      <c r="E4" s="5" t="s">
        <v>15</v>
      </c>
      <c r="F4" s="5" t="s">
        <v>16</v>
      </c>
      <c r="G4" s="5">
        <v>16</v>
      </c>
      <c r="H4" s="5" t="s">
        <v>17</v>
      </c>
      <c r="I4" s="5">
        <v>300</v>
      </c>
      <c r="J4" s="5" t="s">
        <v>25</v>
      </c>
      <c r="K4" s="5" t="s">
        <v>19</v>
      </c>
      <c r="L4" s="5" t="s">
        <v>20</v>
      </c>
    </row>
    <row r="5" ht="15" spans="1:12">
      <c r="A5" s="4">
        <v>4</v>
      </c>
      <c r="B5" s="6"/>
      <c r="C5" s="8" t="s">
        <v>26</v>
      </c>
      <c r="D5" s="7" t="s">
        <v>26</v>
      </c>
      <c r="E5" s="5" t="s">
        <v>15</v>
      </c>
      <c r="F5" s="5" t="s">
        <v>16</v>
      </c>
      <c r="G5" s="5">
        <v>8</v>
      </c>
      <c r="H5" s="5">
        <v>8</v>
      </c>
      <c r="I5" s="5">
        <v>200</v>
      </c>
      <c r="J5" s="5" t="s">
        <v>27</v>
      </c>
      <c r="K5" s="5" t="s">
        <v>19</v>
      </c>
      <c r="L5" s="5" t="s">
        <v>20</v>
      </c>
    </row>
    <row r="6" ht="24.85" spans="1:12">
      <c r="A6" s="4">
        <v>5</v>
      </c>
      <c r="B6" s="6"/>
      <c r="C6" s="9"/>
      <c r="D6" s="10" t="s">
        <v>28</v>
      </c>
      <c r="E6" s="5" t="s">
        <v>15</v>
      </c>
      <c r="F6" s="5" t="s">
        <v>16</v>
      </c>
      <c r="G6" s="5">
        <v>8</v>
      </c>
      <c r="H6" s="5">
        <v>8</v>
      </c>
      <c r="I6" s="5">
        <v>200</v>
      </c>
      <c r="J6" s="5" t="s">
        <v>29</v>
      </c>
      <c r="K6" s="5" t="s">
        <v>19</v>
      </c>
      <c r="L6" s="5" t="s">
        <v>20</v>
      </c>
    </row>
    <row r="7" ht="37.3" spans="1:12">
      <c r="A7" s="4">
        <v>7</v>
      </c>
      <c r="B7" s="6"/>
      <c r="C7" s="8" t="s">
        <v>30</v>
      </c>
      <c r="D7" s="7" t="s">
        <v>31</v>
      </c>
      <c r="E7" s="5" t="s">
        <v>15</v>
      </c>
      <c r="F7" s="5" t="s">
        <v>16</v>
      </c>
      <c r="G7" s="5">
        <v>8</v>
      </c>
      <c r="H7" s="5">
        <v>8</v>
      </c>
      <c r="I7" s="5">
        <v>200</v>
      </c>
      <c r="J7" s="5" t="s">
        <v>32</v>
      </c>
      <c r="K7" s="5" t="s">
        <v>19</v>
      </c>
      <c r="L7" s="5" t="s">
        <v>20</v>
      </c>
    </row>
    <row r="8" ht="24.85" spans="1:12">
      <c r="A8" s="4">
        <v>12</v>
      </c>
      <c r="B8" s="6"/>
      <c r="C8" s="8" t="s">
        <v>33</v>
      </c>
      <c r="D8" s="7" t="s">
        <v>34</v>
      </c>
      <c r="E8" s="5" t="s">
        <v>15</v>
      </c>
      <c r="F8" s="5" t="s">
        <v>16</v>
      </c>
      <c r="G8" s="5">
        <v>8</v>
      </c>
      <c r="H8" s="5">
        <v>8</v>
      </c>
      <c r="I8" s="5">
        <v>200</v>
      </c>
      <c r="J8" s="5" t="s">
        <v>35</v>
      </c>
      <c r="K8" s="5" t="s">
        <v>19</v>
      </c>
      <c r="L8" s="5" t="s">
        <v>20</v>
      </c>
    </row>
    <row r="9" ht="24.85" spans="1:12">
      <c r="A9" s="4">
        <v>13</v>
      </c>
      <c r="B9" s="6"/>
      <c r="C9" s="9"/>
      <c r="D9" s="7" t="s">
        <v>36</v>
      </c>
      <c r="E9" s="5" t="s">
        <v>15</v>
      </c>
      <c r="F9" s="5" t="s">
        <v>16</v>
      </c>
      <c r="G9" s="5">
        <v>8</v>
      </c>
      <c r="H9" s="5" t="s">
        <v>37</v>
      </c>
      <c r="I9" s="5">
        <v>200</v>
      </c>
      <c r="J9" s="5" t="s">
        <v>38</v>
      </c>
      <c r="K9" s="5" t="s">
        <v>19</v>
      </c>
      <c r="L9" s="5" t="s">
        <v>20</v>
      </c>
    </row>
    <row r="10" ht="24.85" spans="1:12">
      <c r="A10" s="4">
        <v>21</v>
      </c>
      <c r="B10" s="6"/>
      <c r="C10" s="5" t="s">
        <v>39</v>
      </c>
      <c r="D10" s="7" t="s">
        <v>40</v>
      </c>
      <c r="E10" s="5" t="s">
        <v>15</v>
      </c>
      <c r="F10" s="5" t="s">
        <v>16</v>
      </c>
      <c r="G10" s="5">
        <v>16</v>
      </c>
      <c r="H10" s="5">
        <v>16</v>
      </c>
      <c r="I10" s="5" t="s">
        <v>41</v>
      </c>
      <c r="J10" s="5" t="s">
        <v>42</v>
      </c>
      <c r="K10" s="5" t="s">
        <v>19</v>
      </c>
      <c r="L10" s="5" t="s">
        <v>20</v>
      </c>
    </row>
    <row r="11" ht="24.85" spans="1:12">
      <c r="A11" s="4">
        <v>22</v>
      </c>
      <c r="B11" s="6"/>
      <c r="C11" s="5"/>
      <c r="D11" s="7" t="s">
        <v>43</v>
      </c>
      <c r="E11" s="5" t="s">
        <v>44</v>
      </c>
      <c r="F11" s="5" t="s">
        <v>16</v>
      </c>
      <c r="G11" s="5">
        <v>8</v>
      </c>
      <c r="H11" s="5">
        <v>8</v>
      </c>
      <c r="I11" s="5" t="s">
        <v>41</v>
      </c>
      <c r="J11" s="5" t="s">
        <v>45</v>
      </c>
      <c r="K11" s="5" t="s">
        <v>19</v>
      </c>
      <c r="L11" s="5" t="s">
        <v>20</v>
      </c>
    </row>
    <row r="12" ht="15" spans="1:12">
      <c r="A12" s="4">
        <v>23</v>
      </c>
      <c r="B12" s="6"/>
      <c r="C12" s="5" t="s">
        <v>46</v>
      </c>
      <c r="D12" s="5" t="s">
        <v>46</v>
      </c>
      <c r="E12" s="5" t="s">
        <v>15</v>
      </c>
      <c r="F12" s="5" t="s">
        <v>16</v>
      </c>
      <c r="G12" s="5">
        <v>8</v>
      </c>
      <c r="H12" s="5">
        <v>8</v>
      </c>
      <c r="I12" s="5" t="s">
        <v>41</v>
      </c>
      <c r="J12" s="5" t="s">
        <v>42</v>
      </c>
      <c r="K12" s="5" t="s">
        <v>19</v>
      </c>
      <c r="L12" s="5" t="s">
        <v>20</v>
      </c>
    </row>
    <row r="13" ht="24.85" spans="1:12">
      <c r="A13" s="4">
        <v>24</v>
      </c>
      <c r="B13" s="6"/>
      <c r="C13" s="8" t="s">
        <v>47</v>
      </c>
      <c r="D13" s="7" t="s">
        <v>48</v>
      </c>
      <c r="E13" s="5" t="s">
        <v>15</v>
      </c>
      <c r="F13" s="5" t="s">
        <v>16</v>
      </c>
      <c r="G13" s="5">
        <v>8</v>
      </c>
      <c r="H13" s="5">
        <v>8</v>
      </c>
      <c r="I13" s="5" t="s">
        <v>41</v>
      </c>
      <c r="J13" s="5" t="s">
        <v>49</v>
      </c>
      <c r="K13" s="5" t="s">
        <v>19</v>
      </c>
      <c r="L13" s="5" t="s">
        <v>50</v>
      </c>
    </row>
    <row r="14" ht="49.7" spans="1:12">
      <c r="A14" s="4">
        <v>25</v>
      </c>
      <c r="B14" s="6"/>
      <c r="C14" s="11"/>
      <c r="D14" s="7" t="s">
        <v>51</v>
      </c>
      <c r="E14" s="5" t="s">
        <v>15</v>
      </c>
      <c r="F14" s="5" t="s">
        <v>16</v>
      </c>
      <c r="G14" s="5">
        <v>8</v>
      </c>
      <c r="H14" s="5">
        <v>8</v>
      </c>
      <c r="I14" s="5" t="s">
        <v>41</v>
      </c>
      <c r="J14" s="5" t="s">
        <v>52</v>
      </c>
      <c r="K14" s="5" t="s">
        <v>19</v>
      </c>
      <c r="L14" s="5" t="s">
        <v>50</v>
      </c>
    </row>
    <row r="15" ht="15" spans="1:12">
      <c r="A15" s="4">
        <v>26</v>
      </c>
      <c r="B15" s="6"/>
      <c r="C15" s="5" t="s">
        <v>53</v>
      </c>
      <c r="D15" s="7" t="s">
        <v>54</v>
      </c>
      <c r="E15" s="5" t="s">
        <v>15</v>
      </c>
      <c r="F15" s="5" t="s">
        <v>16</v>
      </c>
      <c r="G15" s="5">
        <v>16</v>
      </c>
      <c r="H15" s="5">
        <v>16</v>
      </c>
      <c r="I15" s="5">
        <v>1024</v>
      </c>
      <c r="J15" s="5">
        <v>5236</v>
      </c>
      <c r="K15" s="5" t="s">
        <v>19</v>
      </c>
      <c r="L15" s="5" t="s">
        <v>55</v>
      </c>
    </row>
    <row r="16" ht="37.3" spans="1:12">
      <c r="A16" s="4">
        <v>27</v>
      </c>
      <c r="B16" s="6"/>
      <c r="C16" s="5" t="s">
        <v>56</v>
      </c>
      <c r="D16" s="7" t="s">
        <v>56</v>
      </c>
      <c r="E16" s="5" t="s">
        <v>15</v>
      </c>
      <c r="F16" s="5" t="s">
        <v>16</v>
      </c>
      <c r="G16" s="5">
        <v>8</v>
      </c>
      <c r="H16" s="5">
        <v>8</v>
      </c>
      <c r="I16" s="5">
        <v>1024</v>
      </c>
      <c r="J16" s="5" t="s">
        <v>57</v>
      </c>
      <c r="K16" s="5" t="s">
        <v>19</v>
      </c>
      <c r="L16" s="5" t="s">
        <v>56</v>
      </c>
    </row>
    <row r="17" ht="37.3" spans="1:12">
      <c r="A17" s="4">
        <v>28</v>
      </c>
      <c r="B17" s="6"/>
      <c r="C17" s="5"/>
      <c r="D17" s="7" t="s">
        <v>58</v>
      </c>
      <c r="E17" s="5" t="s">
        <v>15</v>
      </c>
      <c r="F17" s="5" t="s">
        <v>16</v>
      </c>
      <c r="G17" s="5">
        <v>8</v>
      </c>
      <c r="H17" s="5">
        <v>8</v>
      </c>
      <c r="I17" s="5">
        <v>1024</v>
      </c>
      <c r="J17" s="5" t="s">
        <v>57</v>
      </c>
      <c r="K17" s="5" t="s">
        <v>19</v>
      </c>
      <c r="L17" s="5" t="s">
        <v>56</v>
      </c>
    </row>
    <row r="18" ht="24.85" spans="1:12">
      <c r="A18" s="4">
        <v>29</v>
      </c>
      <c r="B18" s="12" t="s">
        <v>59</v>
      </c>
      <c r="C18" s="5" t="s">
        <v>21</v>
      </c>
      <c r="D18" s="5" t="s">
        <v>60</v>
      </c>
      <c r="E18" s="5" t="s">
        <v>15</v>
      </c>
      <c r="F18" s="5" t="s">
        <v>16</v>
      </c>
      <c r="G18" s="5">
        <v>8</v>
      </c>
      <c r="H18" s="5">
        <v>8</v>
      </c>
      <c r="I18" s="5" t="s">
        <v>41</v>
      </c>
      <c r="J18" s="5" t="s">
        <v>61</v>
      </c>
      <c r="K18" s="5" t="s">
        <v>19</v>
      </c>
      <c r="L18" s="5" t="s">
        <v>20</v>
      </c>
    </row>
    <row r="19" ht="37.3" spans="1:12">
      <c r="A19" s="4">
        <v>30</v>
      </c>
      <c r="B19" s="12"/>
      <c r="C19" s="5"/>
      <c r="D19" s="5" t="s">
        <v>62</v>
      </c>
      <c r="E19" s="5" t="s">
        <v>15</v>
      </c>
      <c r="F19" s="5" t="s">
        <v>16</v>
      </c>
      <c r="G19" s="5">
        <v>16</v>
      </c>
      <c r="H19" s="5">
        <v>16</v>
      </c>
      <c r="I19" s="5" t="s">
        <v>41</v>
      </c>
      <c r="J19" s="5" t="s">
        <v>63</v>
      </c>
      <c r="K19" s="5" t="s">
        <v>19</v>
      </c>
      <c r="L19" s="5" t="s">
        <v>20</v>
      </c>
    </row>
    <row r="20" ht="37.3" spans="1:12">
      <c r="A20" s="4">
        <v>31</v>
      </c>
      <c r="B20" s="12"/>
      <c r="C20" s="5" t="s">
        <v>64</v>
      </c>
      <c r="D20" s="5" t="s">
        <v>65</v>
      </c>
      <c r="E20" s="5" t="s">
        <v>15</v>
      </c>
      <c r="F20" s="5" t="s">
        <v>16</v>
      </c>
      <c r="G20" s="5">
        <v>16</v>
      </c>
      <c r="H20" s="5">
        <v>16</v>
      </c>
      <c r="I20" s="5" t="s">
        <v>41</v>
      </c>
      <c r="J20" s="5" t="s">
        <v>66</v>
      </c>
      <c r="K20" s="5" t="s">
        <v>19</v>
      </c>
      <c r="L20" s="5" t="s">
        <v>20</v>
      </c>
    </row>
    <row r="21" ht="49.7" spans="1:12">
      <c r="A21" s="4">
        <v>32</v>
      </c>
      <c r="B21" s="12"/>
      <c r="C21" s="5" t="s">
        <v>67</v>
      </c>
      <c r="D21" s="5" t="s">
        <v>31</v>
      </c>
      <c r="E21" s="5" t="s">
        <v>15</v>
      </c>
      <c r="F21" s="5" t="s">
        <v>16</v>
      </c>
      <c r="G21" s="5">
        <v>8</v>
      </c>
      <c r="H21" s="5">
        <v>8</v>
      </c>
      <c r="I21" s="5" t="s">
        <v>41</v>
      </c>
      <c r="J21" s="5" t="s">
        <v>68</v>
      </c>
      <c r="K21" s="5" t="s">
        <v>19</v>
      </c>
      <c r="L21" s="5" t="s">
        <v>20</v>
      </c>
    </row>
    <row r="22" ht="24.85" spans="1:12">
      <c r="A22" s="4">
        <v>36</v>
      </c>
      <c r="B22" s="12"/>
      <c r="C22" s="8" t="s">
        <v>33</v>
      </c>
      <c r="D22" s="5" t="s">
        <v>69</v>
      </c>
      <c r="E22" s="5" t="s">
        <v>15</v>
      </c>
      <c r="F22" s="5" t="s">
        <v>16</v>
      </c>
      <c r="G22" s="5">
        <v>8</v>
      </c>
      <c r="H22" s="5">
        <v>8</v>
      </c>
      <c r="I22" s="5" t="s">
        <v>41</v>
      </c>
      <c r="J22" s="5" t="s">
        <v>70</v>
      </c>
      <c r="K22" s="5" t="s">
        <v>19</v>
      </c>
      <c r="L22" s="5" t="s">
        <v>20</v>
      </c>
    </row>
    <row r="23" ht="24.85" spans="1:12">
      <c r="A23" s="4">
        <v>37</v>
      </c>
      <c r="B23" s="12"/>
      <c r="C23" s="11"/>
      <c r="D23" s="5" t="s">
        <v>71</v>
      </c>
      <c r="E23" s="5" t="s">
        <v>15</v>
      </c>
      <c r="F23" s="5" t="s">
        <v>16</v>
      </c>
      <c r="G23" s="5">
        <v>8</v>
      </c>
      <c r="H23" s="5">
        <v>8</v>
      </c>
      <c r="I23" s="5" t="s">
        <v>41</v>
      </c>
      <c r="J23" s="5" t="s">
        <v>72</v>
      </c>
      <c r="K23" s="5" t="s">
        <v>19</v>
      </c>
      <c r="L23" s="5" t="s">
        <v>20</v>
      </c>
    </row>
    <row r="24" ht="24.85" spans="1:12">
      <c r="A24" s="4">
        <v>42</v>
      </c>
      <c r="B24" s="12"/>
      <c r="C24" s="5" t="s">
        <v>73</v>
      </c>
      <c r="D24" s="5" t="s">
        <v>43</v>
      </c>
      <c r="E24" s="5" t="s">
        <v>44</v>
      </c>
      <c r="F24" s="5" t="s">
        <v>16</v>
      </c>
      <c r="G24" s="5">
        <v>8</v>
      </c>
      <c r="H24" s="5">
        <v>8</v>
      </c>
      <c r="I24" s="5" t="s">
        <v>41</v>
      </c>
      <c r="J24" s="5" t="s">
        <v>45</v>
      </c>
      <c r="K24" s="5" t="s">
        <v>19</v>
      </c>
      <c r="L24" s="5" t="s">
        <v>20</v>
      </c>
    </row>
    <row r="25" ht="62.15" spans="1:12">
      <c r="A25" s="4">
        <v>43</v>
      </c>
      <c r="B25" s="12"/>
      <c r="C25" s="5" t="s">
        <v>47</v>
      </c>
      <c r="D25" s="5" t="s">
        <v>74</v>
      </c>
      <c r="E25" s="5" t="s">
        <v>15</v>
      </c>
      <c r="F25" s="5" t="s">
        <v>16</v>
      </c>
      <c r="G25" s="5">
        <v>8</v>
      </c>
      <c r="H25" s="5">
        <v>8</v>
      </c>
      <c r="I25" s="5" t="s">
        <v>41</v>
      </c>
      <c r="J25" s="5" t="s">
        <v>75</v>
      </c>
      <c r="K25" s="5" t="s">
        <v>19</v>
      </c>
      <c r="L25" s="5" t="s">
        <v>50</v>
      </c>
    </row>
    <row r="26" ht="15" spans="1:12">
      <c r="A26" s="4">
        <v>44</v>
      </c>
      <c r="B26" s="12"/>
      <c r="C26" s="5" t="s">
        <v>53</v>
      </c>
      <c r="D26" s="5" t="s">
        <v>54</v>
      </c>
      <c r="E26" s="5" t="s">
        <v>15</v>
      </c>
      <c r="F26" s="5" t="s">
        <v>16</v>
      </c>
      <c r="G26" s="5">
        <v>8</v>
      </c>
      <c r="H26" s="5">
        <v>8</v>
      </c>
      <c r="I26" s="5" t="s">
        <v>41</v>
      </c>
      <c r="J26" s="5">
        <v>5236</v>
      </c>
      <c r="K26" s="5" t="s">
        <v>19</v>
      </c>
      <c r="L26" s="5" t="s">
        <v>55</v>
      </c>
    </row>
    <row r="27" spans="1:12">
      <c r="G27">
        <f>SUM(G2:G26)</f>
        <v>248</v>
      </c>
      <c r="H27">
        <f>SUM(H2:H26)</f>
        <v>208</v>
      </c>
    </row>
  </sheetData>
  <mergeCells count="10">
    <mergeCell ref="B2:B17"/>
    <mergeCell ref="B18:B26"/>
    <mergeCell ref="C3:C4"/>
    <mergeCell ref="C5:C6"/>
    <mergeCell ref="C8:C9"/>
    <mergeCell ref="C10:C11"/>
    <mergeCell ref="C13:C14"/>
    <mergeCell ref="C16:C17"/>
    <mergeCell ref="C18:C19"/>
    <mergeCell ref="C22:C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国产化 _招采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2026-05-26T08:46:30Z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