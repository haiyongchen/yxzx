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291" activeTab="1"/>
  </bookViews>
  <sheets>
    <sheet name="Sheet2" sheetId="2" r:id="rId1"/>
    <sheet name="Sheet1"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<sst xmlns="http://schemas.openxmlformats.org/spreadsheetml/2006/main" count="45" uniqueCount="35">
  <si>
    <t>序号</t>
  </si>
  <si>
    <t>功能点</t>
  </si>
  <si>
    <t>功能描述</t>
  </si>
  <si>
    <t>开发（人日）</t>
  </si>
  <si>
    <t>测试（人日）</t>
  </si>
  <si>
    <t>交付运维（人日）</t>
  </si>
  <si>
    <t>小计（人日）</t>
  </si>
  <si>
    <t>备注</t>
  </si>
  <si>
    <t>对接准备-密钥配置与签名算法实现</t>
  </si>
  <si>
    <t>配置与保函平台的通信密钥，实现国密SM3签名算法</t>
  </si>
  <si>
    <t>国密SM3算法对接，需与保函平台联调验证签名机制</t>
  </si>
  <si>
    <t>对接标段信息推送接口</t>
  </si>
  <si>
    <t>实现标段信息推送接口，将标段编号、名称、招标人、保证金金额、开标时间等信息推送给保函平台</t>
  </si>
  <si>
    <t>包含标段信息变更后的重新推送机制</t>
  </si>
  <si>
    <t>提供标段信息获取接口</t>
  </si>
  <si>
    <t>提供标段信息获取接口，供保函平台主动获取标段信息，作为推送失败的兜底补偿机制</t>
  </si>
  <si>
    <t>提供保函购买资格校验接口</t>
  </si>
  <si>
    <t>提供校验接口，根据标段编号和企业统一社会信用代码校验企业是否有资格购买保函</t>
  </si>
  <si>
    <t>提供保函信息推送接口</t>
  </si>
  <si>
    <t>接收保函平台推送的保函开函信息，包含保函编号、担保机构、保证金金额、出函时间等</t>
  </si>
  <si>
    <t>开标后接收保函文件下载地址，同一企业同一标段需先作废再推送新保函</t>
  </si>
  <si>
    <t>对接保函信息获取接口</t>
  </si>
  <si>
    <t>对接保函信息获取接口，供特殊情况下主动获取保函信息（如开标时补录）</t>
  </si>
  <si>
    <t>提供保函作废通知接口</t>
  </si>
  <si>
    <t>接收保函作废通知，将保函取消状态同步至交易系统</t>
  </si>
  <si>
    <t>对接企业基本信息获取接口</t>
  </si>
  <si>
    <t>提供企业基本信息获取接口，供保函平台查询企业注册信息、资质等</t>
  </si>
  <si>
    <t>页面跳转集成</t>
  </si>
  <si>
    <t>实现从交易系统跳转至保函平台办理页面的功能</t>
  </si>
  <si>
    <t>总计</t>
  </si>
  <si>
    <t>人工为2500/人日，此为实际工作量，建议商务报价在此基础上乘1-2倍，整体以对外商务报价为准。</t>
  </si>
  <si>
    <t>项目归档</t>
  </si>
  <si>
    <t>新增附件上传功能，客户新传传的附件也融合进原先的压缩包</t>
  </si>
  <si>
    <t>公告对接</t>
  </si>
  <si>
    <t>公告对接河南政府采购网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</si>
</sst>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1"/>
      <color rgb="FFFFFFFF"/>
      <name val="宋体"/>
      <charset val="134"/>
    </font>
    <font>
      <b/>
      <sz val="16"/>
      <color theme="9"/>
      <name val="Microsoft Yahei"/>
      <charset val="134"/>
    </font>
    <font>
      <sz val="11"/>
      <name val="宋体"/>
      <charset val="134"/>
      <scheme val="minor"/>
    </font>
    <font>
      <b/>
      <sz val="11"/>
      <name val="宋体"/>
      <charset val="134"/>
    </font>
    <font>
      <sz val="10"/>
      <name val="宋体"/>
      <charset val="134"/>
    </font>
    <font>
      <b/>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1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2" applyNumberFormat="0" applyFill="0" applyAlignment="0" applyProtection="0">
      <alignment vertical="center"/>
    </xf>
    <xf numFmtId="0" fontId="13" fillId="0" borderId="12" applyNumberFormat="0" applyFill="0" applyAlignment="0" applyProtection="0">
      <alignment vertical="center"/>
    </xf>
    <xf numFmtId="0" fontId="14" fillId="0" borderId="13" applyNumberFormat="0" applyFill="0" applyAlignment="0" applyProtection="0">
      <alignment vertical="center"/>
    </xf>
    <xf numFmtId="0" fontId="14" fillId="0" borderId="0" applyNumberFormat="0" applyFill="0" applyBorder="0" applyAlignment="0" applyProtection="0">
      <alignment vertical="center"/>
    </xf>
    <xf numFmtId="0" fontId="15" fillId="5" borderId="14" applyNumberFormat="0" applyAlignment="0" applyProtection="0">
      <alignment vertical="center"/>
    </xf>
    <xf numFmtId="0" fontId="16" fillId="6" borderId="15" applyNumberFormat="0" applyAlignment="0" applyProtection="0">
      <alignment vertical="center"/>
    </xf>
    <xf numFmtId="0" fontId="17" fillId="6" borderId="14" applyNumberFormat="0" applyAlignment="0" applyProtection="0">
      <alignment vertical="center"/>
    </xf>
    <xf numFmtId="0" fontId="18" fillId="7" borderId="16" applyNumberFormat="0" applyAlignment="0" applyProtection="0">
      <alignment vertical="center"/>
    </xf>
    <xf numFmtId="0" fontId="19" fillId="0" borderId="17" applyNumberFormat="0" applyFill="0" applyAlignment="0" applyProtection="0">
      <alignment vertical="center"/>
    </xf>
    <xf numFmtId="0" fontId="20" fillId="0" borderId="18"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2"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3">
    <xf numFmtId="0" fontId="0" fillId="0" borderId="0" xfId="0">
      <alignment vertical="center"/>
    </xf>
    <xf numFmtId="0" fontId="0" fillId="0" borderId="0" xfId="0" applyAlignment="1">
      <alignmen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2" xfId="0" applyBorder="1">
      <alignment vertical="center"/>
    </xf>
    <xf numFmtId="0" fontId="0" fillId="0" borderId="2" xfId="0" applyBorder="1" applyAlignment="1">
      <alignment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2" fillId="3" borderId="6" xfId="0" applyFont="1" applyFill="1" applyBorder="1" applyAlignment="1">
      <alignment horizontal="left" vertical="center" wrapText="1"/>
    </xf>
    <xf numFmtId="0" fontId="2" fillId="3" borderId="0" xfId="0" applyFont="1" applyFill="1" applyBorder="1" applyAlignment="1">
      <alignment horizontal="left" vertical="center" wrapText="1"/>
    </xf>
    <xf numFmtId="0" fontId="2" fillId="3" borderId="7"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9" xfId="0" applyFont="1" applyFill="1" applyBorder="1" applyAlignment="1">
      <alignment horizontal="left" vertical="center" wrapText="1"/>
    </xf>
    <xf numFmtId="0" fontId="2" fillId="3" borderId="10" xfId="0" applyFont="1" applyFill="1" applyBorder="1" applyAlignment="1">
      <alignment horizontal="left" vertical="center" wrapText="1"/>
    </xf>
    <xf numFmtId="0" fontId="3" fillId="0" borderId="0" xfId="0" applyFont="1">
      <alignment vertical="center"/>
    </xf>
    <xf numFmtId="0" fontId="0" fillId="0" borderId="0" xfId="0" applyFill="1">
      <alignment vertical="center"/>
    </xf>
    <xf numFmtId="0" fontId="4" fillId="0" borderId="2" xfId="0" applyFont="1" applyFill="1" applyBorder="1" applyAlignment="1">
      <alignment horizontal="center" vertical="center"/>
    </xf>
    <xf numFmtId="0" fontId="0" fillId="0" borderId="2" xfId="0" applyBorder="1" applyAlignment="1">
      <alignment vertical="center" wrapText="1"/>
    </xf>
    <xf numFmtId="0" fontId="4" fillId="0" borderId="2" xfId="0" applyFont="1" applyFill="1" applyBorder="1" applyAlignment="1">
      <alignment horizontal="center" vertical="center" wrapText="1"/>
    </xf>
    <xf numFmtId="0" fontId="5" fillId="3" borderId="2" xfId="0" applyFont="1" applyFill="1" applyBorder="1" applyAlignment="1">
      <alignment horizontal="left" vertical="center" wrapText="1"/>
    </xf>
    <xf numFmtId="0" fontId="6" fillId="3" borderId="2" xfId="0" applyFont="1" applyFill="1" applyBorder="1" applyAlignment="1">
      <alignment horizontal="center" vertical="center"/>
    </xf>
    <xf numFmtId="0" fontId="6" fillId="3" borderId="2" xfId="0" applyFont="1" applyFill="1" applyBorder="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workbookViewId="0">
      <selection activeCell="A12" sqref="A12:H13"/>
    </sheetView>
  </sheetViews>
  <sheetFormatPr defaultColWidth="8.61261261261261" defaultRowHeight="14.1" outlineLevelCol="7"/>
  <cols>
    <col min="1" max="1" width="11.1261261261261" customWidth="1"/>
    <col min="2" max="2" width="33.9369369369369" customWidth="1"/>
    <col min="3" max="3" width="47.8738738738739" customWidth="1"/>
    <col min="8" max="8" width="23.1711711711712" customWidth="1"/>
  </cols>
  <sheetData>
    <row r="1" ht="42.45" spans="1:8">
      <c r="A1" s="2" t="s">
        <v>0</v>
      </c>
      <c r="B1" s="2" t="s">
        <v>1</v>
      </c>
      <c r="C1" s="2" t="s">
        <v>2</v>
      </c>
      <c r="D1" s="3" t="s">
        <v>3</v>
      </c>
      <c r="E1" s="3" t="s">
        <v>4</v>
      </c>
      <c r="F1" s="3" t="s">
        <v>5</v>
      </c>
      <c r="G1" s="3" t="s">
        <v>6</v>
      </c>
      <c r="H1" s="2" t="s">
        <v>7</v>
      </c>
    </row>
    <row r="2" s="15" customFormat="1" ht="24.85" spans="1:8">
      <c r="A2" s="17">
        <v>1</v>
      </c>
      <c r="B2" s="17" t="s">
        <v>8</v>
      </c>
      <c r="C2" s="18" t="s">
        <v>9</v>
      </c>
      <c r="D2" s="19">
        <v>1</v>
      </c>
      <c r="E2" s="19">
        <v>0.5</v>
      </c>
      <c r="F2" s="19">
        <v>0.5</v>
      </c>
      <c r="G2" s="19">
        <f>D2+E2+F2</f>
        <v>2</v>
      </c>
      <c r="H2" s="20" t="s">
        <v>10</v>
      </c>
    </row>
    <row r="3" s="16" customFormat="1" ht="28.3" spans="1:8">
      <c r="A3" s="17">
        <v>2</v>
      </c>
      <c r="B3" s="17" t="s">
        <v>11</v>
      </c>
      <c r="C3" s="18" t="s">
        <v>12</v>
      </c>
      <c r="D3" s="19">
        <v>1</v>
      </c>
      <c r="E3" s="19">
        <v>0.5</v>
      </c>
      <c r="F3" s="19">
        <v>0.5</v>
      </c>
      <c r="G3" s="19">
        <f>D3+E3+F3</f>
        <v>2</v>
      </c>
      <c r="H3" s="20" t="s">
        <v>13</v>
      </c>
    </row>
    <row r="4" ht="28.3" spans="1:8">
      <c r="A4" s="21">
        <v>3</v>
      </c>
      <c r="B4" s="17" t="s">
        <v>14</v>
      </c>
      <c r="C4" s="18" t="s">
        <v>15</v>
      </c>
      <c r="D4" s="19">
        <v>1</v>
      </c>
      <c r="E4" s="19">
        <v>0.5</v>
      </c>
      <c r="F4" s="19">
        <v>0.5</v>
      </c>
      <c r="G4" s="19">
        <f t="shared" ref="G4:G10" si="0">D4+E4+F4</f>
        <v>2</v>
      </c>
      <c r="H4" s="20"/>
    </row>
    <row r="5" ht="28.3" spans="1:8">
      <c r="A5" s="21">
        <v>4</v>
      </c>
      <c r="B5" s="17" t="s">
        <v>16</v>
      </c>
      <c r="C5" s="18" t="s">
        <v>17</v>
      </c>
      <c r="D5" s="19">
        <v>1</v>
      </c>
      <c r="E5" s="19">
        <v>0.5</v>
      </c>
      <c r="F5" s="19">
        <v>0.5</v>
      </c>
      <c r="G5" s="19">
        <f t="shared" si="0"/>
        <v>2</v>
      </c>
      <c r="H5" s="22"/>
    </row>
    <row r="6" ht="37.3" spans="1:8">
      <c r="A6" s="17">
        <v>5</v>
      </c>
      <c r="B6" s="17" t="s">
        <v>18</v>
      </c>
      <c r="C6" s="18" t="s">
        <v>19</v>
      </c>
      <c r="D6" s="19">
        <v>1.5</v>
      </c>
      <c r="E6" s="19">
        <v>0.5</v>
      </c>
      <c r="F6" s="19">
        <v>0.5</v>
      </c>
      <c r="G6" s="19">
        <f t="shared" si="0"/>
        <v>2.5</v>
      </c>
      <c r="H6" s="20" t="s">
        <v>20</v>
      </c>
    </row>
    <row r="7" ht="28.3" spans="1:8">
      <c r="A7" s="21">
        <v>6</v>
      </c>
      <c r="B7" s="17" t="s">
        <v>21</v>
      </c>
      <c r="C7" s="18" t="s">
        <v>22</v>
      </c>
      <c r="D7" s="19">
        <v>1</v>
      </c>
      <c r="E7" s="19">
        <v>0.5</v>
      </c>
      <c r="F7" s="19">
        <v>0.5</v>
      </c>
      <c r="G7" s="19">
        <f t="shared" si="0"/>
        <v>2</v>
      </c>
      <c r="H7" s="22"/>
    </row>
    <row r="8" ht="14.15" spans="1:8">
      <c r="A8" s="21">
        <v>7</v>
      </c>
      <c r="B8" s="17" t="s">
        <v>23</v>
      </c>
      <c r="C8" s="18" t="s">
        <v>24</v>
      </c>
      <c r="D8" s="19">
        <v>1</v>
      </c>
      <c r="E8" s="19">
        <v>0.5</v>
      </c>
      <c r="F8" s="19">
        <v>0.5</v>
      </c>
      <c r="G8" s="19">
        <f t="shared" si="0"/>
        <v>2</v>
      </c>
      <c r="H8" s="22"/>
    </row>
    <row r="9" ht="28.3" spans="1:8">
      <c r="A9" s="17">
        <v>8</v>
      </c>
      <c r="B9" s="17" t="s">
        <v>25</v>
      </c>
      <c r="C9" s="18" t="s">
        <v>26</v>
      </c>
      <c r="D9" s="19">
        <v>1</v>
      </c>
      <c r="E9" s="19">
        <v>0.5</v>
      </c>
      <c r="F9" s="19">
        <v>0.5</v>
      </c>
      <c r="G9" s="19">
        <f t="shared" si="0"/>
        <v>2</v>
      </c>
      <c r="H9" s="22"/>
    </row>
    <row r="10" ht="14.15" spans="1:8">
      <c r="A10" s="21">
        <v>9</v>
      </c>
      <c r="B10" s="17" t="s">
        <v>27</v>
      </c>
      <c r="C10" s="18" t="s">
        <v>28</v>
      </c>
      <c r="D10" s="19">
        <v>1</v>
      </c>
      <c r="E10" s="19">
        <v>0.5</v>
      </c>
      <c r="F10" s="19">
        <v>0.5</v>
      </c>
      <c r="G10" s="19">
        <f t="shared" si="0"/>
        <v>2</v>
      </c>
      <c r="H10" s="22"/>
    </row>
    <row r="11" spans="1:8">
      <c r="A11" s="21" t="s">
        <v>29</v>
      </c>
      <c r="B11" s="21"/>
      <c r="C11" s="21"/>
      <c r="D11" s="19">
        <f>SUM(D2:D10)</f>
        <v>9.5</v>
      </c>
      <c r="E11" s="19">
        <f>SUM(E2:E10)</f>
        <v>4.5</v>
      </c>
      <c r="F11" s="19">
        <f>SUM(F2:F10)</f>
        <v>4.5</v>
      </c>
      <c r="G11" s="19">
        <f>SUM(G2:G10)</f>
        <v>18.5</v>
      </c>
      <c r="H11" s="22"/>
    </row>
    <row r="12" spans="1:8">
      <c r="A12" s="9" t="s">
        <v>30</v>
      </c>
      <c r="B12" s="10"/>
      <c r="C12" s="10"/>
      <c r="D12" s="10"/>
      <c r="E12" s="10"/>
      <c r="F12" s="10"/>
      <c r="G12" s="10"/>
      <c r="H12" s="11"/>
    </row>
    <row r="13" ht="14.85" spans="1:8">
      <c r="A13" s="12"/>
      <c r="B13" s="13"/>
      <c r="C13" s="13"/>
      <c r="D13" s="13"/>
      <c r="E13" s="13"/>
      <c r="F13" s="13"/>
      <c r="G13" s="13"/>
      <c r="H13" s="14"/>
    </row>
  </sheetData>
  <mergeCells count="2">
    <mergeCell ref="A11:C11"/>
    <mergeCell ref="A12:H1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tabSelected="1" workbookViewId="0">
      <selection activeCell="U11" sqref="U11"/>
    </sheetView>
  </sheetViews>
  <sheetFormatPr defaultColWidth="8.61261261261261" defaultRowHeight="14.1" outlineLevelRow="5" outlineLevelCol="7"/>
  <cols>
    <col min="2" max="2" width="9.5045045045045" customWidth="1"/>
    <col min="3" max="3" width="21.8468468468468" style="1" customWidth="1"/>
    <col min="4" max="4" width="11.7387387387387" customWidth="1"/>
  </cols>
  <sheetData>
    <row r="1" ht="42.45" spans="1:8">
      <c r="A1" s="2" t="s">
        <v>0</v>
      </c>
      <c r="B1" s="2" t="s">
        <v>1</v>
      </c>
      <c r="C1" s="3" t="s">
        <v>2</v>
      </c>
      <c r="D1" s="3" t="s">
        <v>3</v>
      </c>
      <c r="E1" s="3" t="s">
        <v>4</v>
      </c>
      <c r="F1" s="3" t="s">
        <v>5</v>
      </c>
      <c r="G1" s="3" t="s">
        <v>6</v>
      </c>
      <c r="H1" s="2" t="s">
        <v>7</v>
      </c>
    </row>
    <row r="2" ht="42.45" spans="1:8">
      <c r="A2" s="4">
        <v>1</v>
      </c>
      <c r="B2" s="4" t="s">
        <v>31</v>
      </c>
      <c r="C2" s="5" t="s">
        <v>32</v>
      </c>
      <c r="D2" s="4">
        <v>2</v>
      </c>
      <c r="E2" s="4">
        <v>1</v>
      </c>
      <c r="F2" s="4">
        <v>1</v>
      </c>
      <c r="G2" s="4">
        <v>4</v>
      </c>
      <c r="H2" s="4"/>
    </row>
    <row r="3" ht="28.3" spans="1:8">
      <c r="A3" s="4">
        <v>2</v>
      </c>
      <c r="B3" s="4" t="s">
        <v>33</v>
      </c>
      <c r="C3" s="5" t="s">
        <v>34</v>
      </c>
      <c r="D3" s="4">
        <v>8</v>
      </c>
      <c r="E3" s="4">
        <v>3</v>
      </c>
      <c r="F3" s="4">
        <v>3</v>
      </c>
      <c r="G3" s="4">
        <v>16</v>
      </c>
      <c r="H3" s="4"/>
    </row>
    <row r="4" spans="1:8">
      <c r="A4" s="6" t="s">
        <v>29</v>
      </c>
      <c r="B4" s="7"/>
      <c r="C4" s="8"/>
      <c r="D4" s="4">
        <f>SUM(D2:D3)</f>
        <v>10</v>
      </c>
      <c r="E4" s="4">
        <f>SUM(E2:E3)</f>
        <v>4</v>
      </c>
      <c r="F4" s="4">
        <f>SUM(F2:F3)</f>
        <v>4</v>
      </c>
      <c r="G4" s="4">
        <v>18</v>
      </c>
      <c r="H4" s="4"/>
    </row>
    <row r="5" spans="1:8">
      <c r="A5" s="9" t="s">
        <v>30</v>
      </c>
      <c r="B5" s="10"/>
      <c r="C5" s="10"/>
      <c r="D5" s="10"/>
      <c r="E5" s="10"/>
      <c r="F5" s="10"/>
      <c r="G5" s="10"/>
      <c r="H5" s="11"/>
    </row>
    <row r="6" ht="14.85" spans="1:8">
      <c r="A6" s="12"/>
      <c r="B6" s="13"/>
      <c r="C6" s="13"/>
      <c r="D6" s="13"/>
      <c r="E6" s="13"/>
      <c r="F6" s="13"/>
      <c r="G6" s="13"/>
      <c r="H6" s="14"/>
    </row>
  </sheetData>
  <mergeCells count="2">
    <mergeCell ref="A4:C4"/>
    <mergeCell ref="A5:H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Sheet2</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63111</dc:creator>
  <cp:lastModifiedBy>陈海勇</cp:lastModifiedBy>
  <dcterms:created xsi:type="dcterms:W3CDTF">2025-11-10T00:17:00Z</dcterms:created>
  <dcterms:modified xsi:type="dcterms:W3CDTF">2026-03-31T10:22:49Z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EEA638ABCB7845DABF0ED9530AB78B9E_11</vt:lpwstr>
  </property>
  <property fmtid="{D5CDD505-2E9C-101B-9397-08002B2CF9AE}" pid="3" name="KSOProductBuildVer">
    <vt:lpwstr>2052-12.1.0.25225</vt:lpwstr>
  </property>
  <property fmtid="{D5CDD505-2E9C-101B-9397-08002B2CF9AE}" pid="4" name="CalculationRule">
    <vt:i4>0</vt:i4>
  </property>
</Properties>
</file>